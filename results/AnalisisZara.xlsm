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51d2932be6fbf12/Escritorio/OSCAR/MASTER DATA ANALYST/Dasboard/"/>
    </mc:Choice>
  </mc:AlternateContent>
  <xr:revisionPtr revIDLastSave="1354" documentId="8_{7FB14D29-425D-4416-9256-8E90DFC91980}" xr6:coauthVersionLast="47" xr6:coauthVersionMax="47" xr10:uidLastSave="{6FC57243-8B3C-4048-AF04-1D29AE4CA9B0}"/>
  <bookViews>
    <workbookView xWindow="-28920" yWindow="-120" windowWidth="29040" windowHeight="15720" activeTab="2" xr2:uid="{E4C332AC-C86F-414B-9E67-7318559C15A9}"/>
  </bookViews>
  <sheets>
    <sheet name="Datos" sheetId="4" r:id="rId1"/>
    <sheet name="Análisis" sheetId="1" r:id="rId2"/>
    <sheet name="DashBoard ZARA" sheetId="5" r:id="rId3"/>
  </sheets>
  <definedNames>
    <definedName name="_xleta.SLOPE" hidden="1" xlm="1">#NAME?</definedName>
    <definedName name="DatosExternos_1" localSheetId="0" hidden="1">Datos!$A$1:$K$2001</definedName>
    <definedName name="NativeTimeline_Fecha__EU">#N/A</definedName>
    <definedName name="SegmentaciónDeDatos_Género">#N/A</definedName>
    <definedName name="SegmentaciónDeDatos_Tallaje">#N/A</definedName>
  </definedNames>
  <calcPr calcId="191028"/>
  <pivotCaches>
    <pivotCache cacheId="7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" l="1"/>
  <c r="F23" i="1"/>
  <c r="Q17" i="1"/>
  <c r="Q16" i="1"/>
  <c r="Q18" i="1"/>
  <c r="C23" i="1"/>
  <c r="Q10" i="1"/>
  <c r="H13" i="1"/>
  <c r="Q9" i="1"/>
  <c r="Q8" i="1"/>
  <c r="K4" i="1" l="1"/>
  <c r="L13" i="1"/>
  <c r="K15" i="1"/>
  <c r="L15" i="1"/>
  <c r="K13" i="1"/>
  <c r="I13" i="1"/>
  <c r="L5" i="1" s="1"/>
  <c r="H15" i="1"/>
  <c r="K5" i="1" s="1"/>
  <c r="I15" i="1"/>
  <c r="L4" i="1" s="1"/>
  <c r="M6" i="1"/>
  <c r="K6" i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Datos" description="Conexión a la consulta 'Datos' en el libro." type="5" refreshedVersion="8" background="1" saveData="1">
    <dbPr connection="Provider=Microsoft.Mashup.OleDb.1;Data Source=$Workbook$;Location=Datos;Extended Properties=&quot;&quot;" command="SELECT * FROM [Datos]"/>
  </connection>
</connections>
</file>

<file path=xl/sharedStrings.xml><?xml version="1.0" encoding="utf-8"?>
<sst xmlns="http://schemas.openxmlformats.org/spreadsheetml/2006/main" count="16113" uniqueCount="1598">
  <si>
    <t>DNI</t>
  </si>
  <si>
    <t>Nombre</t>
  </si>
  <si>
    <t>Apellidos</t>
  </si>
  <si>
    <t>Teléfono</t>
  </si>
  <si>
    <t>Género</t>
  </si>
  <si>
    <t>Provincia</t>
  </si>
  <si>
    <t>Total Gastado</t>
  </si>
  <si>
    <t>Estado Pedido</t>
  </si>
  <si>
    <t>Tallaje</t>
  </si>
  <si>
    <t>Mujer</t>
  </si>
  <si>
    <t>Bilbao</t>
  </si>
  <si>
    <t>M</t>
  </si>
  <si>
    <t>Online</t>
  </si>
  <si>
    <t>Otro</t>
  </si>
  <si>
    <t>Córdoba</t>
  </si>
  <si>
    <t>XXL</t>
  </si>
  <si>
    <t>Tienda Física</t>
  </si>
  <si>
    <t>Eleuterio</t>
  </si>
  <si>
    <t>Hombre</t>
  </si>
  <si>
    <t>Murcia</t>
  </si>
  <si>
    <t>Felipa</t>
  </si>
  <si>
    <t>Madrid</t>
  </si>
  <si>
    <t>XS</t>
  </si>
  <si>
    <t>Román</t>
  </si>
  <si>
    <t>Zaragoza</t>
  </si>
  <si>
    <t>Entregado</t>
  </si>
  <si>
    <t>XL</t>
  </si>
  <si>
    <t>Georgina</t>
  </si>
  <si>
    <t>Claudio</t>
  </si>
  <si>
    <t>Sevilla</t>
  </si>
  <si>
    <t>Andrea</t>
  </si>
  <si>
    <t>Poncio</t>
  </si>
  <si>
    <t>Málaga</t>
  </si>
  <si>
    <t>S</t>
  </si>
  <si>
    <t>Ema</t>
  </si>
  <si>
    <t>Barcelona</t>
  </si>
  <si>
    <t>L</t>
  </si>
  <si>
    <t>Omar</t>
  </si>
  <si>
    <t>Paulina</t>
  </si>
  <si>
    <t>Alicante</t>
  </si>
  <si>
    <t>Amado</t>
  </si>
  <si>
    <t>Azeneth</t>
  </si>
  <si>
    <t>Evangelina</t>
  </si>
  <si>
    <t>Ignacio</t>
  </si>
  <si>
    <t>Clementina</t>
  </si>
  <si>
    <t>Matilde</t>
  </si>
  <si>
    <t>Esteban</t>
  </si>
  <si>
    <t>Valencia</t>
  </si>
  <si>
    <t>Cloe</t>
  </si>
  <si>
    <t>Mateo</t>
  </si>
  <si>
    <t>Íngrid</t>
  </si>
  <si>
    <t>Conrado</t>
  </si>
  <si>
    <t>Pelayo</t>
  </si>
  <si>
    <t>Anastasio</t>
  </si>
  <si>
    <t>Jose Miguel</t>
  </si>
  <si>
    <t>Roque</t>
  </si>
  <si>
    <t>Victor Manuel</t>
  </si>
  <si>
    <t>Faustino</t>
  </si>
  <si>
    <t>Augusto</t>
  </si>
  <si>
    <t>Teresa</t>
  </si>
  <si>
    <t>Patricia</t>
  </si>
  <si>
    <t>Rafaela</t>
  </si>
  <si>
    <t>Leyre</t>
  </si>
  <si>
    <t>Kike</t>
  </si>
  <si>
    <t>Primitiva</t>
  </si>
  <si>
    <t>Dan</t>
  </si>
  <si>
    <t>Florentino</t>
  </si>
  <si>
    <t>Alejandra</t>
  </si>
  <si>
    <t>Lino</t>
  </si>
  <si>
    <t>Joel</t>
  </si>
  <si>
    <t>Leonel</t>
  </si>
  <si>
    <t>Bernarda</t>
  </si>
  <si>
    <t>Xiomara</t>
  </si>
  <si>
    <t>Emelina</t>
  </si>
  <si>
    <t>Tamara</t>
  </si>
  <si>
    <t>Alexandra</t>
  </si>
  <si>
    <t>Armida</t>
  </si>
  <si>
    <t>Pascual</t>
  </si>
  <si>
    <t>Remigio</t>
  </si>
  <si>
    <t>Carina</t>
  </si>
  <si>
    <t>Ramona</t>
  </si>
  <si>
    <t>Amparo</t>
  </si>
  <si>
    <t>Socorro</t>
  </si>
  <si>
    <t>Ligia</t>
  </si>
  <si>
    <t>Alonso</t>
  </si>
  <si>
    <t>Abril</t>
  </si>
  <si>
    <t>Isabel</t>
  </si>
  <si>
    <t>Selena</t>
  </si>
  <si>
    <t>Belén</t>
  </si>
  <si>
    <t>Curro</t>
  </si>
  <si>
    <t>Teófila</t>
  </si>
  <si>
    <t>Pascuala</t>
  </si>
  <si>
    <t>Caridad</t>
  </si>
  <si>
    <t>Guillermo</t>
  </si>
  <si>
    <t>Priscila</t>
  </si>
  <si>
    <t>Vidal</t>
  </si>
  <si>
    <t>José Ángel</t>
  </si>
  <si>
    <t>Sarita</t>
  </si>
  <si>
    <t>Amarilis</t>
  </si>
  <si>
    <t>Angelino</t>
  </si>
  <si>
    <t>Rosenda</t>
  </si>
  <si>
    <t>Eufemia</t>
  </si>
  <si>
    <t>Ainoa</t>
  </si>
  <si>
    <t>Octavio</t>
  </si>
  <si>
    <t>Rosa María</t>
  </si>
  <si>
    <t>Bonifacio</t>
  </si>
  <si>
    <t>Dionisia</t>
  </si>
  <si>
    <t>Irma</t>
  </si>
  <si>
    <t>Hortensia</t>
  </si>
  <si>
    <t>Sergio</t>
  </si>
  <si>
    <t>Chus</t>
  </si>
  <si>
    <t>Hugo</t>
  </si>
  <si>
    <t>Ascensión</t>
  </si>
  <si>
    <t>Adelaida</t>
  </si>
  <si>
    <t>Paola</t>
  </si>
  <si>
    <t>Plácido</t>
  </si>
  <si>
    <t>Teo</t>
  </si>
  <si>
    <t>Edelmiro</t>
  </si>
  <si>
    <t>César</t>
  </si>
  <si>
    <t>Nicodemo</t>
  </si>
  <si>
    <t>Gonzalo</t>
  </si>
  <si>
    <t>Ricardo</t>
  </si>
  <si>
    <t>Aurora</t>
  </si>
  <si>
    <t>Simón</t>
  </si>
  <si>
    <t>Fidel</t>
  </si>
  <si>
    <t>Obdulia</t>
  </si>
  <si>
    <t>Cecilia</t>
  </si>
  <si>
    <t>Samuel</t>
  </si>
  <si>
    <t>Isidro</t>
  </si>
  <si>
    <t>Tomasa</t>
  </si>
  <si>
    <t>Gil</t>
  </si>
  <si>
    <t>Eustaquio</t>
  </si>
  <si>
    <t>Coral</t>
  </si>
  <si>
    <t>Cintia</t>
  </si>
  <si>
    <t>Bruno</t>
  </si>
  <si>
    <t>Pastora</t>
  </si>
  <si>
    <t>Dorita</t>
  </si>
  <si>
    <t>Goyo</t>
  </si>
  <si>
    <t>Adora</t>
  </si>
  <si>
    <t>Corona</t>
  </si>
  <si>
    <t>Cristian</t>
  </si>
  <si>
    <t>Liliana</t>
  </si>
  <si>
    <t>Toño</t>
  </si>
  <si>
    <t>Lola</t>
  </si>
  <si>
    <t>Yéssica</t>
  </si>
  <si>
    <t>Lupe</t>
  </si>
  <si>
    <t>María Pilar</t>
  </si>
  <si>
    <t>Calixta</t>
  </si>
  <si>
    <t>Jenny</t>
  </si>
  <si>
    <t>Guadalupe</t>
  </si>
  <si>
    <t>Eugenio</t>
  </si>
  <si>
    <t>Baudelio</t>
  </si>
  <si>
    <t>Bernabé</t>
  </si>
  <si>
    <t>Custodia</t>
  </si>
  <si>
    <t>José</t>
  </si>
  <si>
    <t>Eduardo</t>
  </si>
  <si>
    <t>Graciano</t>
  </si>
  <si>
    <t>Yolanda</t>
  </si>
  <si>
    <t>Pepe</t>
  </si>
  <si>
    <t>Artemio</t>
  </si>
  <si>
    <t>José Manuel</t>
  </si>
  <si>
    <t>Sol</t>
  </si>
  <si>
    <t>Manolo</t>
  </si>
  <si>
    <t>Lucila</t>
  </si>
  <si>
    <t>Sosimo</t>
  </si>
  <si>
    <t>Nilda</t>
  </si>
  <si>
    <t>Balduino</t>
  </si>
  <si>
    <t>Gaspar</t>
  </si>
  <si>
    <t>Sandalio</t>
  </si>
  <si>
    <t>Félix</t>
  </si>
  <si>
    <t>Pepito</t>
  </si>
  <si>
    <t>Daniel</t>
  </si>
  <si>
    <t>Valeria</t>
  </si>
  <si>
    <t>Amor</t>
  </si>
  <si>
    <t>Manu</t>
  </si>
  <si>
    <t>Ambrosio</t>
  </si>
  <si>
    <t>Emilia</t>
  </si>
  <si>
    <t>Pacífica</t>
  </si>
  <si>
    <t>Jaime</t>
  </si>
  <si>
    <t>Máximo</t>
  </si>
  <si>
    <t>Bautista</t>
  </si>
  <si>
    <t>Melisa</t>
  </si>
  <si>
    <t>Fabián</t>
  </si>
  <si>
    <t>Jesusa</t>
  </si>
  <si>
    <t>Josué</t>
  </si>
  <si>
    <t>Candelas</t>
  </si>
  <si>
    <t>Edelmira</t>
  </si>
  <si>
    <t>Tere</t>
  </si>
  <si>
    <t>Régulo</t>
  </si>
  <si>
    <t>Charo</t>
  </si>
  <si>
    <t>Benita</t>
  </si>
  <si>
    <t>Jeremías</t>
  </si>
  <si>
    <t>María Fernanda</t>
  </si>
  <si>
    <t>Fabiola</t>
  </si>
  <si>
    <t>Eva María</t>
  </si>
  <si>
    <t>Ale</t>
  </si>
  <si>
    <t>Graciana</t>
  </si>
  <si>
    <t>Flavia</t>
  </si>
  <si>
    <t>Perla</t>
  </si>
  <si>
    <t>Raimundo</t>
  </si>
  <si>
    <t>Alejo</t>
  </si>
  <si>
    <t>Alondra</t>
  </si>
  <si>
    <t>Brunilda</t>
  </si>
  <si>
    <t>Julio César</t>
  </si>
  <si>
    <t>Aroa</t>
  </si>
  <si>
    <t>Arsenio</t>
  </si>
  <si>
    <t>Che</t>
  </si>
  <si>
    <t>Amaya</t>
  </si>
  <si>
    <t>Néstor</t>
  </si>
  <si>
    <t>Paloma</t>
  </si>
  <si>
    <t>Aarón</t>
  </si>
  <si>
    <t>Armando</t>
  </si>
  <si>
    <t>Iris</t>
  </si>
  <si>
    <t>Heriberto</t>
  </si>
  <si>
    <t>Hector</t>
  </si>
  <si>
    <t>Lara</t>
  </si>
  <si>
    <t>Nazario</t>
  </si>
  <si>
    <t>Gregorio</t>
  </si>
  <si>
    <t>Zaira</t>
  </si>
  <si>
    <t>María Manuela</t>
  </si>
  <si>
    <t>Salvador</t>
  </si>
  <si>
    <t>Eligio</t>
  </si>
  <si>
    <t>Marcio</t>
  </si>
  <si>
    <t>Alma</t>
  </si>
  <si>
    <t>Juan Pablo</t>
  </si>
  <si>
    <t>Jesús</t>
  </si>
  <si>
    <t>Lucho</t>
  </si>
  <si>
    <t>Domitila</t>
  </si>
  <si>
    <t>Rogelio</t>
  </si>
  <si>
    <t>Santiago</t>
  </si>
  <si>
    <t>Tadeo</t>
  </si>
  <si>
    <t>Ágata</t>
  </si>
  <si>
    <t>Nicolás</t>
  </si>
  <si>
    <t>Gastón</t>
  </si>
  <si>
    <t>Luisa</t>
  </si>
  <si>
    <t>Encarnita</t>
  </si>
  <si>
    <t>Renata</t>
  </si>
  <si>
    <t>Nadia</t>
  </si>
  <si>
    <t>Eladio</t>
  </si>
  <si>
    <t>Juan Carlos</t>
  </si>
  <si>
    <t>Paz</t>
  </si>
  <si>
    <t>Leandro</t>
  </si>
  <si>
    <t>Maite</t>
  </si>
  <si>
    <t>Fermín</t>
  </si>
  <si>
    <t>Duilio</t>
  </si>
  <si>
    <t>Anabel</t>
  </si>
  <si>
    <t>Fanny</t>
  </si>
  <si>
    <t>Visitación</t>
  </si>
  <si>
    <t>Pancho</t>
  </si>
  <si>
    <t>Bernardita</t>
  </si>
  <si>
    <t>Martín</t>
  </si>
  <si>
    <t>Macaria</t>
  </si>
  <si>
    <t>Ileana</t>
  </si>
  <si>
    <t>Carmen</t>
  </si>
  <si>
    <t>Laura</t>
  </si>
  <si>
    <t>Olga</t>
  </si>
  <si>
    <t>Bibiana</t>
  </si>
  <si>
    <t>Josefina</t>
  </si>
  <si>
    <t>Morena</t>
  </si>
  <si>
    <t>Cayetana</t>
  </si>
  <si>
    <t>Maristela</t>
  </si>
  <si>
    <t>Rufino</t>
  </si>
  <si>
    <t>Carmina</t>
  </si>
  <si>
    <t>Paulino</t>
  </si>
  <si>
    <t>Reina</t>
  </si>
  <si>
    <t>Petrona</t>
  </si>
  <si>
    <t>Ruperto</t>
  </si>
  <si>
    <t>Lucas</t>
  </si>
  <si>
    <t>Leonor</t>
  </si>
  <si>
    <t>Eliseo</t>
  </si>
  <si>
    <t>Heliodoro</t>
  </si>
  <si>
    <t>Aristides</t>
  </si>
  <si>
    <t>Eli</t>
  </si>
  <si>
    <t>Anna</t>
  </si>
  <si>
    <t>Angelita</t>
  </si>
  <si>
    <t>Azucena</t>
  </si>
  <si>
    <t>Clemente</t>
  </si>
  <si>
    <t>Mar</t>
  </si>
  <si>
    <t>Ximena</t>
  </si>
  <si>
    <t>Reyes</t>
  </si>
  <si>
    <t>Eutropio</t>
  </si>
  <si>
    <t>Wálter</t>
  </si>
  <si>
    <t>Silvio</t>
  </si>
  <si>
    <t>Julie</t>
  </si>
  <si>
    <t>Narciso</t>
  </si>
  <si>
    <t>Candelaria</t>
  </si>
  <si>
    <t>Blas</t>
  </si>
  <si>
    <t>Leonardo</t>
  </si>
  <si>
    <t>Tecla</t>
  </si>
  <si>
    <t>Nuria</t>
  </si>
  <si>
    <t>Cecilio</t>
  </si>
  <si>
    <t>Emigdio</t>
  </si>
  <si>
    <t>Maxi</t>
  </si>
  <si>
    <t>Nacho</t>
  </si>
  <si>
    <t>Teodoro</t>
  </si>
  <si>
    <t>Marisela</t>
  </si>
  <si>
    <t>Lorenza</t>
  </si>
  <si>
    <t>Valentín</t>
  </si>
  <si>
    <t>Tomás</t>
  </si>
  <si>
    <t>María Jesús</t>
  </si>
  <si>
    <t>María Carmen</t>
  </si>
  <si>
    <t>Ángeles</t>
  </si>
  <si>
    <t>Saturnino</t>
  </si>
  <si>
    <t>Apolonia</t>
  </si>
  <si>
    <t>Marcelo</t>
  </si>
  <si>
    <t>Crescencia</t>
  </si>
  <si>
    <t>Begoña</t>
  </si>
  <si>
    <t>Leoncio</t>
  </si>
  <si>
    <t>Chita</t>
  </si>
  <si>
    <t>Alicia</t>
  </si>
  <si>
    <t>Úrsula</t>
  </si>
  <si>
    <t>Isaías</t>
  </si>
  <si>
    <t>Álvaro</t>
  </si>
  <si>
    <t>Celestino</t>
  </si>
  <si>
    <t>Alfredo</t>
  </si>
  <si>
    <t>Loida</t>
  </si>
  <si>
    <t>Victorino</t>
  </si>
  <si>
    <t>Yésica</t>
  </si>
  <si>
    <t>Dulce</t>
  </si>
  <si>
    <t>Judith</t>
  </si>
  <si>
    <t>Alejandro</t>
  </si>
  <si>
    <t>Olalla</t>
  </si>
  <si>
    <t>Juan José</t>
  </si>
  <si>
    <t>Marisa</t>
  </si>
  <si>
    <t>Borja</t>
  </si>
  <si>
    <t>Heraclio</t>
  </si>
  <si>
    <t>Rico</t>
  </si>
  <si>
    <t>Carmelita</t>
  </si>
  <si>
    <t>Nydia</t>
  </si>
  <si>
    <t>Débora</t>
  </si>
  <si>
    <t>Carla</t>
  </si>
  <si>
    <t>Cipriano</t>
  </si>
  <si>
    <t>Casandra</t>
  </si>
  <si>
    <t>Susana</t>
  </si>
  <si>
    <t>Quirino</t>
  </si>
  <si>
    <t>Josep</t>
  </si>
  <si>
    <t>Manuel</t>
  </si>
  <si>
    <t>Jonatan</t>
  </si>
  <si>
    <t>Magdalena</t>
  </si>
  <si>
    <t>Apolinar</t>
  </si>
  <si>
    <t>Reynaldo</t>
  </si>
  <si>
    <t>Angélica</t>
  </si>
  <si>
    <t>Rodolfo</t>
  </si>
  <si>
    <t>Aránzazu</t>
  </si>
  <si>
    <t>María</t>
  </si>
  <si>
    <t>María Dolores</t>
  </si>
  <si>
    <t>Guiomar</t>
  </si>
  <si>
    <t>Benito</t>
  </si>
  <si>
    <t>Blanca</t>
  </si>
  <si>
    <t>Noé</t>
  </si>
  <si>
    <t>Benigna</t>
  </si>
  <si>
    <t>Modesta</t>
  </si>
  <si>
    <t>Elvira</t>
  </si>
  <si>
    <t>Basilio</t>
  </si>
  <si>
    <t>Loreto</t>
  </si>
  <si>
    <t>Maricela</t>
  </si>
  <si>
    <t>Jose Manuel</t>
  </si>
  <si>
    <t>Jose Antonio</t>
  </si>
  <si>
    <t>Perlita</t>
  </si>
  <si>
    <t>Oriana</t>
  </si>
  <si>
    <t>Silvestre</t>
  </si>
  <si>
    <t>Jerónimo</t>
  </si>
  <si>
    <t>Fabiana</t>
  </si>
  <si>
    <t>Francisco Jose</t>
  </si>
  <si>
    <t>Reyna</t>
  </si>
  <si>
    <t>Evaristo</t>
  </si>
  <si>
    <t>Lázaro</t>
  </si>
  <si>
    <t>Miguela</t>
  </si>
  <si>
    <t>Ismael</t>
  </si>
  <si>
    <t>Ciro</t>
  </si>
  <si>
    <t>Clarisa</t>
  </si>
  <si>
    <t>Felicidad</t>
  </si>
  <si>
    <t>Seve</t>
  </si>
  <si>
    <t>Ricarda</t>
  </si>
  <si>
    <t>Ciríaco</t>
  </si>
  <si>
    <t>Federico</t>
  </si>
  <si>
    <t>Tito</t>
  </si>
  <si>
    <t>Leticia</t>
  </si>
  <si>
    <t>Olegario</t>
  </si>
  <si>
    <t>Samanta</t>
  </si>
  <si>
    <t>Fidela</t>
  </si>
  <si>
    <t>Sabina</t>
  </si>
  <si>
    <t>Toni</t>
  </si>
  <si>
    <t>Cesar</t>
  </si>
  <si>
    <t>Consuelo</t>
  </si>
  <si>
    <t>Rolando</t>
  </si>
  <si>
    <t>Concha</t>
  </si>
  <si>
    <t>Marta</t>
  </si>
  <si>
    <t>Jordana</t>
  </si>
  <si>
    <t>Juan Bautista</t>
  </si>
  <si>
    <t>Toribio</t>
  </si>
  <si>
    <t>Rodrigo</t>
  </si>
  <si>
    <t>Nayara</t>
  </si>
  <si>
    <t>Manuelita</t>
  </si>
  <si>
    <t>Verónica</t>
  </si>
  <si>
    <t>Lucio</t>
  </si>
  <si>
    <t>Piedad</t>
  </si>
  <si>
    <t>Felix</t>
  </si>
  <si>
    <t>Rocío</t>
  </si>
  <si>
    <t>Yaiza</t>
  </si>
  <si>
    <t>Domingo</t>
  </si>
  <si>
    <t>Cebrián</t>
  </si>
  <si>
    <t>Dorotea</t>
  </si>
  <si>
    <t>Julián</t>
  </si>
  <si>
    <t>José Luis</t>
  </si>
  <si>
    <t>Rita</t>
  </si>
  <si>
    <t>Almudena</t>
  </si>
  <si>
    <t>Fortunato</t>
  </si>
  <si>
    <t>Fecha (EU)</t>
  </si>
  <si>
    <t>Tipo Compra (Online o Tienda Física)</t>
  </si>
  <si>
    <t>73140325Y</t>
  </si>
  <si>
    <t>Cámara Elías</t>
  </si>
  <si>
    <t>Palma</t>
  </si>
  <si>
    <t>78050784H</t>
  </si>
  <si>
    <t>Reyes Olivera</t>
  </si>
  <si>
    <t>Vitoria</t>
  </si>
  <si>
    <t>39684615P</t>
  </si>
  <si>
    <t>Solano Luna</t>
  </si>
  <si>
    <t>Granada</t>
  </si>
  <si>
    <t>47056266Z</t>
  </si>
  <si>
    <t>Lobo Jaume</t>
  </si>
  <si>
    <t>98444820F</t>
  </si>
  <si>
    <t>Monreal Rosales</t>
  </si>
  <si>
    <t>Hospitalet</t>
  </si>
  <si>
    <t>60406750Q</t>
  </si>
  <si>
    <t>Jordá Borja</t>
  </si>
  <si>
    <t>70687553H</t>
  </si>
  <si>
    <t>Cobo Belmonte</t>
  </si>
  <si>
    <t>45753758D</t>
  </si>
  <si>
    <t>Iriarte Sainz</t>
  </si>
  <si>
    <t>61675221E</t>
  </si>
  <si>
    <t>Silva Uriarte</t>
  </si>
  <si>
    <t>27455948A</t>
  </si>
  <si>
    <t>Doménech Hervia</t>
  </si>
  <si>
    <t>77407381P</t>
  </si>
  <si>
    <t>Solera Beltrán</t>
  </si>
  <si>
    <t>68283194J</t>
  </si>
  <si>
    <t>Verdugo Iborra</t>
  </si>
  <si>
    <t>17182798Q</t>
  </si>
  <si>
    <t>Pomares Rey</t>
  </si>
  <si>
    <t>Oviedo</t>
  </si>
  <si>
    <t>69975657B</t>
  </si>
  <si>
    <t>Benavente Izquierdo</t>
  </si>
  <si>
    <t>Gijón</t>
  </si>
  <si>
    <t>En Proceso</t>
  </si>
  <si>
    <t>12142105G</t>
  </si>
  <si>
    <t>Carrasco Guijarro</t>
  </si>
  <si>
    <t>56049204T</t>
  </si>
  <si>
    <t>Sevillano Samper</t>
  </si>
  <si>
    <t>52509628G</t>
  </si>
  <si>
    <t>Pou Muñoz</t>
  </si>
  <si>
    <t>Salamanca</t>
  </si>
  <si>
    <t>13258536D</t>
  </si>
  <si>
    <t>Lago Rey</t>
  </si>
  <si>
    <t>53541075C</t>
  </si>
  <si>
    <t>Torrijos Adán</t>
  </si>
  <si>
    <t>76300464S</t>
  </si>
  <si>
    <t>Berenguer Castro</t>
  </si>
  <si>
    <t>22382690E</t>
  </si>
  <si>
    <t>Medina Verdú</t>
  </si>
  <si>
    <t>La Coruña</t>
  </si>
  <si>
    <t>80136439Z</t>
  </si>
  <si>
    <t>Pedro Ángel</t>
  </si>
  <si>
    <t>43318994H</t>
  </si>
  <si>
    <t>Peinado Domingo</t>
  </si>
  <si>
    <t>29616131H</t>
  </si>
  <si>
    <t>Bermudez Mercader</t>
  </si>
  <si>
    <t>86637489S</t>
  </si>
  <si>
    <t>Reyes Matas</t>
  </si>
  <si>
    <t>47191779P</t>
  </si>
  <si>
    <t>Bellido Tapia</t>
  </si>
  <si>
    <t>76356245V</t>
  </si>
  <si>
    <t>Gilabert Leal</t>
  </si>
  <si>
    <t>50816918E</t>
  </si>
  <si>
    <t>Cid Guerra</t>
  </si>
  <si>
    <t>Santander</t>
  </si>
  <si>
    <t>79428481P</t>
  </si>
  <si>
    <t>Nogués Cañas</t>
  </si>
  <si>
    <t>Toledo</t>
  </si>
  <si>
    <t>82322524P</t>
  </si>
  <si>
    <t>Sebastián</t>
  </si>
  <si>
    <t>Garcés Sureda</t>
  </si>
  <si>
    <t>37354853S</t>
  </si>
  <si>
    <t>Sanz Ferrero</t>
  </si>
  <si>
    <t>75935511N</t>
  </si>
  <si>
    <t>Ordóñez Echevarría</t>
  </si>
  <si>
    <t>86022727W</t>
  </si>
  <si>
    <t>Soriano Casares</t>
  </si>
  <si>
    <t>62022334F</t>
  </si>
  <si>
    <t>Pulido Belda</t>
  </si>
  <si>
    <t>43210193R</t>
  </si>
  <si>
    <t>Diez Macías</t>
  </si>
  <si>
    <t>33007489G</t>
  </si>
  <si>
    <t>Romero Valencia</t>
  </si>
  <si>
    <t>72897010V</t>
  </si>
  <si>
    <t>Padilla Alcolea</t>
  </si>
  <si>
    <t>49091341Y</t>
  </si>
  <si>
    <t>Mascaró Andrés</t>
  </si>
  <si>
    <t>33751134K</t>
  </si>
  <si>
    <t>Castelló Torres</t>
  </si>
  <si>
    <t>36355490C</t>
  </si>
  <si>
    <t>Lerma Agudo</t>
  </si>
  <si>
    <t>75929777G</t>
  </si>
  <si>
    <t>Sarabia Acosta</t>
  </si>
  <si>
    <t>56364803T</t>
  </si>
  <si>
    <t>Azorin Blanes</t>
  </si>
  <si>
    <t>Pamplona</t>
  </si>
  <si>
    <t>Devuelto</t>
  </si>
  <si>
    <t>14194919V</t>
  </si>
  <si>
    <t>Chaparro Villalobos</t>
  </si>
  <si>
    <t>58100223A</t>
  </si>
  <si>
    <t>Olmedo Posada</t>
  </si>
  <si>
    <t>61528688Z</t>
  </si>
  <si>
    <t>Julián Alarcón</t>
  </si>
  <si>
    <t>26755285J</t>
  </si>
  <si>
    <t>Valbuena Haro</t>
  </si>
  <si>
    <t>14329995K</t>
  </si>
  <si>
    <t>Saldaña Peralta</t>
  </si>
  <si>
    <t>Vigo</t>
  </si>
  <si>
    <t>42750273N</t>
  </si>
  <si>
    <t>Estevez Pombo</t>
  </si>
  <si>
    <t>95961337B</t>
  </si>
  <si>
    <t>Porta Duran</t>
  </si>
  <si>
    <t>89318725Z</t>
  </si>
  <si>
    <t>Cano Almazán</t>
  </si>
  <si>
    <t>18923254V</t>
  </si>
  <si>
    <t>Frías Calatayud</t>
  </si>
  <si>
    <t>72014603N</t>
  </si>
  <si>
    <t>Pastor Diéguez</t>
  </si>
  <si>
    <t>38327401J</t>
  </si>
  <si>
    <t>Gallego Rosales</t>
  </si>
  <si>
    <t>86194597A</t>
  </si>
  <si>
    <t>Moliner Caro</t>
  </si>
  <si>
    <t>59323678R</t>
  </si>
  <si>
    <t>Pons Buendía</t>
  </si>
  <si>
    <t>89407663C</t>
  </si>
  <si>
    <t>Bosch Acuña</t>
  </si>
  <si>
    <t>25041916B</t>
  </si>
  <si>
    <t>Velázquez Bravo</t>
  </si>
  <si>
    <t>78068190M</t>
  </si>
  <si>
    <t>Aragón Vaquero</t>
  </si>
  <si>
    <t>20873128J</t>
  </si>
  <si>
    <t>Bermúdez Pi</t>
  </si>
  <si>
    <t>32401817X</t>
  </si>
  <si>
    <t>Vidal Escobar</t>
  </si>
  <si>
    <t>75042305X</t>
  </si>
  <si>
    <t>Pineda Quesada</t>
  </si>
  <si>
    <t>71599517E</t>
  </si>
  <si>
    <t>Carpio Nicolau</t>
  </si>
  <si>
    <t>15537123E</t>
  </si>
  <si>
    <t>Soler Hurtado</t>
  </si>
  <si>
    <t>15175762C</t>
  </si>
  <si>
    <t>Pou Botella</t>
  </si>
  <si>
    <t>29519204L</t>
  </si>
  <si>
    <t>Gallo Miró</t>
  </si>
  <si>
    <t>29936949A</t>
  </si>
  <si>
    <t>Ricart Jiménez</t>
  </si>
  <si>
    <t>92473329E</t>
  </si>
  <si>
    <t>Marcelino</t>
  </si>
  <si>
    <t>Valentín Feliu</t>
  </si>
  <si>
    <t>61397828K</t>
  </si>
  <si>
    <t>Guillén Peláez</t>
  </si>
  <si>
    <t>62431275F</t>
  </si>
  <si>
    <t>Pla Guitart</t>
  </si>
  <si>
    <t>51984518Y</t>
  </si>
  <si>
    <t>Águila Teruel</t>
  </si>
  <si>
    <t>54202650N</t>
  </si>
  <si>
    <t>Lobo Casals</t>
  </si>
  <si>
    <t>12683337S</t>
  </si>
  <si>
    <t>Lillo Diez</t>
  </si>
  <si>
    <t>57184352W</t>
  </si>
  <si>
    <t>Enrique</t>
  </si>
  <si>
    <t>Aguado Godoy</t>
  </si>
  <si>
    <t>32606300A</t>
  </si>
  <si>
    <t>Paz Espejo</t>
  </si>
  <si>
    <t>66443159F</t>
  </si>
  <si>
    <t>Campillo Téllez</t>
  </si>
  <si>
    <t>32032818A</t>
  </si>
  <si>
    <t>Mohamed</t>
  </si>
  <si>
    <t>Porta Murillo</t>
  </si>
  <si>
    <t>36106179G</t>
  </si>
  <si>
    <t>Moliner Bernad</t>
  </si>
  <si>
    <t>72280386D</t>
  </si>
  <si>
    <t>Méndez Osorio</t>
  </si>
  <si>
    <t>74062255S</t>
  </si>
  <si>
    <t>Olmedo Sureda</t>
  </si>
  <si>
    <t>60894171S</t>
  </si>
  <si>
    <t>Anselmo</t>
  </si>
  <si>
    <t>Cervantes Peiró</t>
  </si>
  <si>
    <t>30345887K</t>
  </si>
  <si>
    <t>Marin Sans</t>
  </si>
  <si>
    <t>56515062P</t>
  </si>
  <si>
    <t>Canales Arroyo</t>
  </si>
  <si>
    <t>68513495C</t>
  </si>
  <si>
    <t>Prieto Gonzalo</t>
  </si>
  <si>
    <t>13480806W</t>
  </si>
  <si>
    <t>Vicens Núñez</t>
  </si>
  <si>
    <t>26975734C</t>
  </si>
  <si>
    <t>Vaquero Herrero</t>
  </si>
  <si>
    <t>76698712T</t>
  </si>
  <si>
    <t>Reig Garcia</t>
  </si>
  <si>
    <t>22594867F</t>
  </si>
  <si>
    <t>Samper Mercader</t>
  </si>
  <si>
    <t>Valladolid</t>
  </si>
  <si>
    <t>41902583S</t>
  </si>
  <si>
    <t>Villena Arregui</t>
  </si>
  <si>
    <t>63135739D</t>
  </si>
  <si>
    <t>Ramón Ureña</t>
  </si>
  <si>
    <t>42216072M</t>
  </si>
  <si>
    <t>Malo Alsina</t>
  </si>
  <si>
    <t>56382668C</t>
  </si>
  <si>
    <t>Olivé Peñalver</t>
  </si>
  <si>
    <t>81853630G</t>
  </si>
  <si>
    <t>Luís Montesinos</t>
  </si>
  <si>
    <t>19810554R</t>
  </si>
  <si>
    <t>Sotelo Mulet</t>
  </si>
  <si>
    <t>29383837Q</t>
  </si>
  <si>
    <t>Samper Maldonado</t>
  </si>
  <si>
    <t>21709109Y</t>
  </si>
  <si>
    <t>Acero Dávila</t>
  </si>
  <si>
    <t>79537241V</t>
  </si>
  <si>
    <t>Cornejo Alsina</t>
  </si>
  <si>
    <t>73118939L</t>
  </si>
  <si>
    <t>Portillo Donoso</t>
  </si>
  <si>
    <t>Elche</t>
  </si>
  <si>
    <t>81474327R</t>
  </si>
  <si>
    <t>Castells Lillo</t>
  </si>
  <si>
    <t>93707522E</t>
  </si>
  <si>
    <t>Sastre Casanovas</t>
  </si>
  <si>
    <t>21110375E</t>
  </si>
  <si>
    <t>Cánovas Sevillano</t>
  </si>
  <si>
    <t>94568506J</t>
  </si>
  <si>
    <t>Rosales Pont</t>
  </si>
  <si>
    <t>25477239W</t>
  </si>
  <si>
    <t>Reyes Vicente</t>
  </si>
  <si>
    <t>69937194C</t>
  </si>
  <si>
    <t>Castrillo Jaén</t>
  </si>
  <si>
    <t>38078215F</t>
  </si>
  <si>
    <t>Piña Pinto</t>
  </si>
  <si>
    <t>38796114M</t>
  </si>
  <si>
    <t>Nicolau Osorio</t>
  </si>
  <si>
    <t>81882099H</t>
  </si>
  <si>
    <t>Arce Menendez</t>
  </si>
  <si>
    <t>99212611C</t>
  </si>
  <si>
    <t>Real Cifuentes</t>
  </si>
  <si>
    <t>79947200A</t>
  </si>
  <si>
    <t>Olmo Solís</t>
  </si>
  <si>
    <t>34520001S</t>
  </si>
  <si>
    <t>Contreras Elorza</t>
  </si>
  <si>
    <t>52715637F</t>
  </si>
  <si>
    <t>Casanovas Piña</t>
  </si>
  <si>
    <t>25719076N</t>
  </si>
  <si>
    <t>Casanova Vilalta</t>
  </si>
  <si>
    <t>11071151D</t>
  </si>
  <si>
    <t>Maximino</t>
  </si>
  <si>
    <t>Gámez Donoso</t>
  </si>
  <si>
    <t>69488702L</t>
  </si>
  <si>
    <t>Cañellas Jaén</t>
  </si>
  <si>
    <t>38194604M</t>
  </si>
  <si>
    <t>Lorenzo Gutiérrez</t>
  </si>
  <si>
    <t>76041575Z</t>
  </si>
  <si>
    <t>Botella Moreno</t>
  </si>
  <si>
    <t>25192785L</t>
  </si>
  <si>
    <t>Soriano Pulido</t>
  </si>
  <si>
    <t>46770330V</t>
  </si>
  <si>
    <t>Asensio Gomila</t>
  </si>
  <si>
    <t>87237369E</t>
  </si>
  <si>
    <t>Dolores</t>
  </si>
  <si>
    <t>Blanca Boix</t>
  </si>
  <si>
    <t>86979884C</t>
  </si>
  <si>
    <t>Torres Morán</t>
  </si>
  <si>
    <t>70052070Z</t>
  </si>
  <si>
    <t>Barceló Nuñez</t>
  </si>
  <si>
    <t>62453405W</t>
  </si>
  <si>
    <t>Borja Miralles</t>
  </si>
  <si>
    <t>84293788Y</t>
  </si>
  <si>
    <t>Soria Rivas</t>
  </si>
  <si>
    <t>65957367N</t>
  </si>
  <si>
    <t>Tamayo Sobrino</t>
  </si>
  <si>
    <t>90127713P</t>
  </si>
  <si>
    <t>Vallés Novoa</t>
  </si>
  <si>
    <t>79564382L</t>
  </si>
  <si>
    <t>Santiago Clemente</t>
  </si>
  <si>
    <t>29533936S</t>
  </si>
  <si>
    <t>Prada Martinez</t>
  </si>
  <si>
    <t>94640748V</t>
  </si>
  <si>
    <t>Peláez Jordán</t>
  </si>
  <si>
    <t>19317140N</t>
  </si>
  <si>
    <t>Escobar Carpio</t>
  </si>
  <si>
    <t>72086839Z</t>
  </si>
  <si>
    <t>Jódar Samper</t>
  </si>
  <si>
    <t>33428904N</t>
  </si>
  <si>
    <t>Pareja Vilalta</t>
  </si>
  <si>
    <t>22131279D</t>
  </si>
  <si>
    <t>Acedo Mosquera</t>
  </si>
  <si>
    <t>59397090N</t>
  </si>
  <si>
    <t>Alba Grau</t>
  </si>
  <si>
    <t>93419441Y</t>
  </si>
  <si>
    <t>Gil Adán</t>
  </si>
  <si>
    <t>27686446G</t>
  </si>
  <si>
    <t>Oliva Esteve</t>
  </si>
  <si>
    <t>50871274T</t>
  </si>
  <si>
    <t>Collado Ferrero</t>
  </si>
  <si>
    <t>67727269M</t>
  </si>
  <si>
    <t>Llorente Coello</t>
  </si>
  <si>
    <t>97327259S</t>
  </si>
  <si>
    <t>Villalobos Verdugo</t>
  </si>
  <si>
    <t>64318648D</t>
  </si>
  <si>
    <t>Bas Feijoo</t>
  </si>
  <si>
    <t>47351895V</t>
  </si>
  <si>
    <t>Font Ayllón</t>
  </si>
  <si>
    <t>60021419M</t>
  </si>
  <si>
    <t>Tomé Fabregat</t>
  </si>
  <si>
    <t>14908642Y</t>
  </si>
  <si>
    <t>Pera Dueñas</t>
  </si>
  <si>
    <t>54472233N</t>
  </si>
  <si>
    <t>Gallart Saez</t>
  </si>
  <si>
    <t>31381782Z</t>
  </si>
  <si>
    <t>Lobo Reguera</t>
  </si>
  <si>
    <t>78406590Q</t>
  </si>
  <si>
    <t>Caparrós Vilanova</t>
  </si>
  <si>
    <t>54763821B</t>
  </si>
  <si>
    <t>Serra Matas</t>
  </si>
  <si>
    <t>81974736W</t>
  </si>
  <si>
    <t>Villa Jódar</t>
  </si>
  <si>
    <t>50200190W</t>
  </si>
  <si>
    <t>Monreal Vigil</t>
  </si>
  <si>
    <t>62744415N</t>
  </si>
  <si>
    <t>Mariño Hoyos</t>
  </si>
  <si>
    <t>39447644F</t>
  </si>
  <si>
    <t>Araujo Noriega</t>
  </si>
  <si>
    <t>96884573C</t>
  </si>
  <si>
    <t>Albero Batlle</t>
  </si>
  <si>
    <t>53493978B</t>
  </si>
  <si>
    <t>Mateo Ruano</t>
  </si>
  <si>
    <t>47682674J</t>
  </si>
  <si>
    <t>Villar Vilalta</t>
  </si>
  <si>
    <t>29709648V</t>
  </si>
  <si>
    <t>Batalla Zapata</t>
  </si>
  <si>
    <t>26064323J</t>
  </si>
  <si>
    <t>Cabrera Ripoll</t>
  </si>
  <si>
    <t>82037262R</t>
  </si>
  <si>
    <t>Tormo Abascal</t>
  </si>
  <si>
    <t>19807679H</t>
  </si>
  <si>
    <t>Rosell Cervera</t>
  </si>
  <si>
    <t>23831899R</t>
  </si>
  <si>
    <t>Laguna Miró</t>
  </si>
  <si>
    <t>75126729N</t>
  </si>
  <si>
    <t>Blanco Cruz</t>
  </si>
  <si>
    <t>98775523E</t>
  </si>
  <si>
    <t>Andrés Felipe</t>
  </si>
  <si>
    <t>Iglesias Valverde</t>
  </si>
  <si>
    <t>54836989Z</t>
  </si>
  <si>
    <t>Llorens Barrio</t>
  </si>
  <si>
    <t>75050383F</t>
  </si>
  <si>
    <t>Roca Oller</t>
  </si>
  <si>
    <t>68122452T</t>
  </si>
  <si>
    <t>Chaparro Fernandez</t>
  </si>
  <si>
    <t>26220539F</t>
  </si>
  <si>
    <t>Ripoll Santamaria</t>
  </si>
  <si>
    <t>88963247V</t>
  </si>
  <si>
    <t>Teresita</t>
  </si>
  <si>
    <t>Llano Porras</t>
  </si>
  <si>
    <t>72130616E</t>
  </si>
  <si>
    <t>Galván Llorens</t>
  </si>
  <si>
    <t>34463484E</t>
  </si>
  <si>
    <t>Casado Peña</t>
  </si>
  <si>
    <t>93110473B</t>
  </si>
  <si>
    <t>Andres Andrade</t>
  </si>
  <si>
    <t>48065238R</t>
  </si>
  <si>
    <t>Camacho Duque</t>
  </si>
  <si>
    <t>60503340X</t>
  </si>
  <si>
    <t>Encarna</t>
  </si>
  <si>
    <t>Francisco Carvajal</t>
  </si>
  <si>
    <t>23656016J</t>
  </si>
  <si>
    <t>Vizcaíno Rivero</t>
  </si>
  <si>
    <t>98422506H</t>
  </si>
  <si>
    <t>Bello Andreu</t>
  </si>
  <si>
    <t>56293201B</t>
  </si>
  <si>
    <t>Conesa Salgado</t>
  </si>
  <si>
    <t>76815689N</t>
  </si>
  <si>
    <t>Aguilar Estevez</t>
  </si>
  <si>
    <t>33457973E</t>
  </si>
  <si>
    <t>Cadenas Patiño</t>
  </si>
  <si>
    <t>90721050R</t>
  </si>
  <si>
    <t>Tolosa Jove</t>
  </si>
  <si>
    <t>25404225G</t>
  </si>
  <si>
    <t>Alemany Rivas</t>
  </si>
  <si>
    <t>46261416E</t>
  </si>
  <si>
    <t>Lorenzo Almagro</t>
  </si>
  <si>
    <t>34152005N</t>
  </si>
  <si>
    <t>Ferrándiz Mariscal</t>
  </si>
  <si>
    <t>24763978R</t>
  </si>
  <si>
    <t>Mercader Soriano</t>
  </si>
  <si>
    <t>74764244T</t>
  </si>
  <si>
    <t>Valbuena Cánovas</t>
  </si>
  <si>
    <t>52332382T</t>
  </si>
  <si>
    <t>Guillén Galindo</t>
  </si>
  <si>
    <t>83459479N</t>
  </si>
  <si>
    <t>Quintero Barberá</t>
  </si>
  <si>
    <t>27150054Q</t>
  </si>
  <si>
    <t>Jaume Andrade</t>
  </si>
  <si>
    <t>21240874E</t>
  </si>
  <si>
    <t>Hervás Redondo</t>
  </si>
  <si>
    <t>83629279J</t>
  </si>
  <si>
    <t>Aparicio Urrutia</t>
  </si>
  <si>
    <t>83654830P</t>
  </si>
  <si>
    <t>Sevilla Ortiz</t>
  </si>
  <si>
    <t>90150250P</t>
  </si>
  <si>
    <t>Diaz Revilla</t>
  </si>
  <si>
    <t>86269664P</t>
  </si>
  <si>
    <t>Belen</t>
  </si>
  <si>
    <t>Calzada Alsina</t>
  </si>
  <si>
    <t>66068466C</t>
  </si>
  <si>
    <t>Aitor</t>
  </si>
  <si>
    <t>Bermudez Escobar</t>
  </si>
  <si>
    <t>83224276N</t>
  </si>
  <si>
    <t>Valera Marí</t>
  </si>
  <si>
    <t>76973083G</t>
  </si>
  <si>
    <t>Pombo Cabanillas</t>
  </si>
  <si>
    <t>30524729H</t>
  </si>
  <si>
    <t>Pina Pombo</t>
  </si>
  <si>
    <t>93759760C</t>
  </si>
  <si>
    <t>Antúnez Murillo</t>
  </si>
  <si>
    <t>77423638H</t>
  </si>
  <si>
    <t>Frías Priego</t>
  </si>
  <si>
    <t>27544452S</t>
  </si>
  <si>
    <t>Canet Comas</t>
  </si>
  <si>
    <t>25816609A</t>
  </si>
  <si>
    <t>Beltrán Machado</t>
  </si>
  <si>
    <t>58685683R</t>
  </si>
  <si>
    <t>Primitivo</t>
  </si>
  <si>
    <t>Lastra Aranda</t>
  </si>
  <si>
    <t>16160716S</t>
  </si>
  <si>
    <t>Carreras Peralta</t>
  </si>
  <si>
    <t>26927412V</t>
  </si>
  <si>
    <t>Cueto Nicolás</t>
  </si>
  <si>
    <t>80369578Y</t>
  </si>
  <si>
    <t>Bernal Mercader</t>
  </si>
  <si>
    <t>82239993Q</t>
  </si>
  <si>
    <t>Sanmartín Gracia</t>
  </si>
  <si>
    <t>72806565J</t>
  </si>
  <si>
    <t>Zaragoza Agustí</t>
  </si>
  <si>
    <t>81948617K</t>
  </si>
  <si>
    <t>Águila Cortina</t>
  </si>
  <si>
    <t>83318886T</t>
  </si>
  <si>
    <t>Clavero Pou</t>
  </si>
  <si>
    <t>23579799W</t>
  </si>
  <si>
    <t>Amat Castañeda</t>
  </si>
  <si>
    <t>99389748L</t>
  </si>
  <si>
    <t>Lozano Marin</t>
  </si>
  <si>
    <t>42178889L</t>
  </si>
  <si>
    <t>Galvez Ros</t>
  </si>
  <si>
    <t>17612013C</t>
  </si>
  <si>
    <t>Carmela</t>
  </si>
  <si>
    <t>Burgos Arroyo</t>
  </si>
  <si>
    <t>32630545L</t>
  </si>
  <si>
    <t>Muñoz Carnero</t>
  </si>
  <si>
    <t>47721875L</t>
  </si>
  <si>
    <t>Lastra Buendía</t>
  </si>
  <si>
    <t>16713087B</t>
  </si>
  <si>
    <t>Cantón Cantero</t>
  </si>
  <si>
    <t>36266860N</t>
  </si>
  <si>
    <t>Pagès Merino</t>
  </si>
  <si>
    <t>81079621R</t>
  </si>
  <si>
    <t>Berrocal Guardia</t>
  </si>
  <si>
    <t>40112179X</t>
  </si>
  <si>
    <t>Aramburu Sanmartín</t>
  </si>
  <si>
    <t>24218400F</t>
  </si>
  <si>
    <t>Casanova Barrio</t>
  </si>
  <si>
    <t>11174276D</t>
  </si>
  <si>
    <t>Figueras Frutos</t>
  </si>
  <si>
    <t>29624926N</t>
  </si>
  <si>
    <t>Ramón</t>
  </si>
  <si>
    <t>Benavente Ayala</t>
  </si>
  <si>
    <t>50138889Q</t>
  </si>
  <si>
    <t>Cal Macías</t>
  </si>
  <si>
    <t>30185883W</t>
  </si>
  <si>
    <t>Cañete Roda</t>
  </si>
  <si>
    <t>91542826V</t>
  </si>
  <si>
    <t>Solís Belda</t>
  </si>
  <si>
    <t>99504531H</t>
  </si>
  <si>
    <t>Crespi Caparrós</t>
  </si>
  <si>
    <t>54700717M</t>
  </si>
  <si>
    <t>Avilés Zaragoza</t>
  </si>
  <si>
    <t>51555833T</t>
  </si>
  <si>
    <t>Ropero Río</t>
  </si>
  <si>
    <t>28140809S</t>
  </si>
  <si>
    <t>Delgado Andreu</t>
  </si>
  <si>
    <t>98859008P</t>
  </si>
  <si>
    <t>Patiño Crespi</t>
  </si>
  <si>
    <t>27167802A</t>
  </si>
  <si>
    <t>Maximiliano</t>
  </si>
  <si>
    <t>Llanos Alba</t>
  </si>
  <si>
    <t>38997211R</t>
  </si>
  <si>
    <t>Luciana</t>
  </si>
  <si>
    <t>Ramis Montenegro</t>
  </si>
  <si>
    <t>99522107A</t>
  </si>
  <si>
    <t>Campoy Hervás</t>
  </si>
  <si>
    <t>19400041D</t>
  </si>
  <si>
    <t>Ponce Villalobos</t>
  </si>
  <si>
    <t>98878504G</t>
  </si>
  <si>
    <t>Vendrell Pinedo</t>
  </si>
  <si>
    <t>97511984G</t>
  </si>
  <si>
    <t>Valenciano Berenguer</t>
  </si>
  <si>
    <t>34791034X</t>
  </si>
  <si>
    <t>Arrieta Ferrero</t>
  </si>
  <si>
    <t>33172051H</t>
  </si>
  <si>
    <t>Luna Lasa</t>
  </si>
  <si>
    <t>57592533X</t>
  </si>
  <si>
    <t>Zorrilla Egea</t>
  </si>
  <si>
    <t>90046281W</t>
  </si>
  <si>
    <t>Caballero Prado</t>
  </si>
  <si>
    <t>57373377M</t>
  </si>
  <si>
    <t>Lerma Cuadrado</t>
  </si>
  <si>
    <t>43702564R</t>
  </si>
  <si>
    <t>López Guzmán</t>
  </si>
  <si>
    <t>64827671E</t>
  </si>
  <si>
    <t>Muñoz Ballester</t>
  </si>
  <si>
    <t>97296934D</t>
  </si>
  <si>
    <t>Cabeza Salom</t>
  </si>
  <si>
    <t>75297326C</t>
  </si>
  <si>
    <t>Estela</t>
  </si>
  <si>
    <t>Perea Ordóñez</t>
  </si>
  <si>
    <t>16394894S</t>
  </si>
  <si>
    <t>Tejada Montenegro</t>
  </si>
  <si>
    <t>38093364G</t>
  </si>
  <si>
    <t>Acuña Sierra</t>
  </si>
  <si>
    <t>37894468H</t>
  </si>
  <si>
    <t>Guardia Villar</t>
  </si>
  <si>
    <t>25603280C</t>
  </si>
  <si>
    <t>Olmedo Roldán</t>
  </si>
  <si>
    <t>68099855R</t>
  </si>
  <si>
    <t>Goicoechea Juliá</t>
  </si>
  <si>
    <t>75238446X</t>
  </si>
  <si>
    <t>Cornelio</t>
  </si>
  <si>
    <t>Cózar Plana</t>
  </si>
  <si>
    <t>10328450N</t>
  </si>
  <si>
    <t>Parra Llamas</t>
  </si>
  <si>
    <t>32975738J</t>
  </si>
  <si>
    <t>Barrio Jimenez</t>
  </si>
  <si>
    <t>73591246H</t>
  </si>
  <si>
    <t>Pomares Olivera</t>
  </si>
  <si>
    <t>58712606F</t>
  </si>
  <si>
    <t>Mármol Ripoll</t>
  </si>
  <si>
    <t>79396453Z</t>
  </si>
  <si>
    <t>Merino Barral</t>
  </si>
  <si>
    <t>68215831E</t>
  </si>
  <si>
    <t>Garmendia Galvez</t>
  </si>
  <si>
    <t>49029944W</t>
  </si>
  <si>
    <t>Acosta Seco</t>
  </si>
  <si>
    <t>74971226E</t>
  </si>
  <si>
    <t>Ariza Tello</t>
  </si>
  <si>
    <t>90116061K</t>
  </si>
  <si>
    <t>Jose Ramón</t>
  </si>
  <si>
    <t>Chacón Amaya</t>
  </si>
  <si>
    <t>48642044M</t>
  </si>
  <si>
    <t>Busquets Sarabia</t>
  </si>
  <si>
    <t>85731973H</t>
  </si>
  <si>
    <t>Guillén Llorente</t>
  </si>
  <si>
    <t>32396722X</t>
  </si>
  <si>
    <t>Palomares Hervia</t>
  </si>
  <si>
    <t>73770262P</t>
  </si>
  <si>
    <t>Bartolomé Guitart</t>
  </si>
  <si>
    <t>40127180J</t>
  </si>
  <si>
    <t>Pereira Gomila</t>
  </si>
  <si>
    <t>39087301M</t>
  </si>
  <si>
    <t>Asenjo Castejón</t>
  </si>
  <si>
    <t>19643265P</t>
  </si>
  <si>
    <t>Acosta Herranz</t>
  </si>
  <si>
    <t>81650970G</t>
  </si>
  <si>
    <t>Hernando Girona</t>
  </si>
  <si>
    <t>93317225B</t>
  </si>
  <si>
    <t>Tejera Manso</t>
  </si>
  <si>
    <t>99166520B</t>
  </si>
  <si>
    <t>Luque Pineda</t>
  </si>
  <si>
    <t>47921905X</t>
  </si>
  <si>
    <t>Llabrés Sanchez</t>
  </si>
  <si>
    <t>44346229E</t>
  </si>
  <si>
    <t>Palomo Alcázar</t>
  </si>
  <si>
    <t>41569513R</t>
  </si>
  <si>
    <t>Saavedra Crespi</t>
  </si>
  <si>
    <t>17152595E</t>
  </si>
  <si>
    <t>Camino Gutiérrez</t>
  </si>
  <si>
    <t>24158190E</t>
  </si>
  <si>
    <t>Velázquez Marti</t>
  </si>
  <si>
    <t>82383079Y</t>
  </si>
  <si>
    <t>Márquez Vallés</t>
  </si>
  <si>
    <t>95810000S</t>
  </si>
  <si>
    <t>Zamorano Jaume</t>
  </si>
  <si>
    <t>30971998M</t>
  </si>
  <si>
    <t>Soriano Montserrat</t>
  </si>
  <si>
    <t>62785491V</t>
  </si>
  <si>
    <t>Novoa Valbuena</t>
  </si>
  <si>
    <t>10888596V</t>
  </si>
  <si>
    <t>Cortés Diego</t>
  </si>
  <si>
    <t>60641232E</t>
  </si>
  <si>
    <t>Galindo Cabañas</t>
  </si>
  <si>
    <t>45537452L</t>
  </si>
  <si>
    <t>Serrano Silva</t>
  </si>
  <si>
    <t>75723954T</t>
  </si>
  <si>
    <t>Rivas Puente</t>
  </si>
  <si>
    <t>35753054R</t>
  </si>
  <si>
    <t>Cal Clemente</t>
  </si>
  <si>
    <t>30035980T</t>
  </si>
  <si>
    <t>Blanco Marquez</t>
  </si>
  <si>
    <t>59875713J</t>
  </si>
  <si>
    <t>Hidalgo Borrell</t>
  </si>
  <si>
    <t>19526138Y</t>
  </si>
  <si>
    <t>Lluch Manzano</t>
  </si>
  <si>
    <t>18916672R</t>
  </si>
  <si>
    <t>Ayllón Guardia</t>
  </si>
  <si>
    <t>77982084J</t>
  </si>
  <si>
    <t>Nadal Matas</t>
  </si>
  <si>
    <t>94273294H</t>
  </si>
  <si>
    <t>Romero Barco</t>
  </si>
  <si>
    <t>33322851B</t>
  </si>
  <si>
    <t>Jiménez Carnero</t>
  </si>
  <si>
    <t>66006663S</t>
  </si>
  <si>
    <t>Fonseca Casanova</t>
  </si>
  <si>
    <t>46192184X</t>
  </si>
  <si>
    <t>Pujol Ayala</t>
  </si>
  <si>
    <t>21851674A</t>
  </si>
  <si>
    <t>Pereira Bernad</t>
  </si>
  <si>
    <t>94948447C</t>
  </si>
  <si>
    <t>Matas Barriga</t>
  </si>
  <si>
    <t>87647957B</t>
  </si>
  <si>
    <t>Lucena Sala</t>
  </si>
  <si>
    <t>89560204F</t>
  </si>
  <si>
    <t>Capdevila Gracia</t>
  </si>
  <si>
    <t>30171392P</t>
  </si>
  <si>
    <t>Calleja Saura</t>
  </si>
  <si>
    <t>44592428W</t>
  </si>
  <si>
    <t>Falcó Camps</t>
  </si>
  <si>
    <t>70017068R</t>
  </si>
  <si>
    <t>Carro Ojeda</t>
  </si>
  <si>
    <t>73048187K</t>
  </si>
  <si>
    <t>Herrero Benavente</t>
  </si>
  <si>
    <t>43115370C</t>
  </si>
  <si>
    <t>Posada Pujol</t>
  </si>
  <si>
    <t>27716123A</t>
  </si>
  <si>
    <t>Chaparro Tormo</t>
  </si>
  <si>
    <t>23647156C</t>
  </si>
  <si>
    <t>Zoraida</t>
  </si>
  <si>
    <t>Torrecilla Barroso</t>
  </si>
  <si>
    <t>20752343N</t>
  </si>
  <si>
    <t>Concepción</t>
  </si>
  <si>
    <t>Diego Vicente</t>
  </si>
  <si>
    <t>32186302J</t>
  </si>
  <si>
    <t>Castillo Aragón</t>
  </si>
  <si>
    <t>94916088J</t>
  </si>
  <si>
    <t>Guerrero Baquero</t>
  </si>
  <si>
    <t>66906946Z</t>
  </si>
  <si>
    <t>Llano Huertas</t>
  </si>
  <si>
    <t>74938482W</t>
  </si>
  <si>
    <t>Francisco Benavente</t>
  </si>
  <si>
    <t>57866167H</t>
  </si>
  <si>
    <t>Botella Revilla</t>
  </si>
  <si>
    <t>91521990X</t>
  </si>
  <si>
    <t>Vila Miró</t>
  </si>
  <si>
    <t>50646343F</t>
  </si>
  <si>
    <t>Girón Solsona</t>
  </si>
  <si>
    <t>29803554Z</t>
  </si>
  <si>
    <t>Salvà Mateo</t>
  </si>
  <si>
    <t>94198875M</t>
  </si>
  <si>
    <t>Ramírez Vargas</t>
  </si>
  <si>
    <t>41393927P</t>
  </si>
  <si>
    <t>Villaverde Salcedo</t>
  </si>
  <si>
    <t>97430919K</t>
  </si>
  <si>
    <t>Montes Salazar</t>
  </si>
  <si>
    <t>39831529B</t>
  </si>
  <si>
    <t>Planas Ferrándiz</t>
  </si>
  <si>
    <t>27607710P</t>
  </si>
  <si>
    <t>Marí Morante</t>
  </si>
  <si>
    <t>84947392B</t>
  </si>
  <si>
    <t>Izquierdo Barrios</t>
  </si>
  <si>
    <t>18590736A</t>
  </si>
  <si>
    <t>Robles Comas</t>
  </si>
  <si>
    <t>13564953E</t>
  </si>
  <si>
    <t>Cueto Castells</t>
  </si>
  <si>
    <t>37686052P</t>
  </si>
  <si>
    <t>Aranda Lledó</t>
  </si>
  <si>
    <t>55191594F</t>
  </si>
  <si>
    <t>Vicens Beltran</t>
  </si>
  <si>
    <t>29655875M</t>
  </si>
  <si>
    <t>Naranjo Goñi</t>
  </si>
  <si>
    <t>14076903T</t>
  </si>
  <si>
    <t>Marquez Fiol</t>
  </si>
  <si>
    <t>62949991Q</t>
  </si>
  <si>
    <t>Franco Francisco</t>
  </si>
  <si>
    <t>98332810L</t>
  </si>
  <si>
    <t>Galván Ricart</t>
  </si>
  <si>
    <t>41907584J</t>
  </si>
  <si>
    <t>Abellán Mariscal</t>
  </si>
  <si>
    <t>56286507B</t>
  </si>
  <si>
    <t>Exposito Salvador</t>
  </si>
  <si>
    <t>97022517E</t>
  </si>
  <si>
    <t>Merino Quero</t>
  </si>
  <si>
    <t>24307952L</t>
  </si>
  <si>
    <t>Hernández Bermejo</t>
  </si>
  <si>
    <t>43887668Y</t>
  </si>
  <si>
    <t>Corral Galan</t>
  </si>
  <si>
    <t>22405083D</t>
  </si>
  <si>
    <t>Fuente Losada</t>
  </si>
  <si>
    <t>32719286P</t>
  </si>
  <si>
    <t>Tello Casas</t>
  </si>
  <si>
    <t>75375180C</t>
  </si>
  <si>
    <t>Manjón Gil</t>
  </si>
  <si>
    <t>88261632P</t>
  </si>
  <si>
    <t>Quesada Carbonell</t>
  </si>
  <si>
    <t>57602474C</t>
  </si>
  <si>
    <t>Manjón Asensio</t>
  </si>
  <si>
    <t>95462475B</t>
  </si>
  <si>
    <t>Adelia</t>
  </si>
  <si>
    <t>Torrents Sandoval</t>
  </si>
  <si>
    <t>53291667L</t>
  </si>
  <si>
    <t>Lledó Perea</t>
  </si>
  <si>
    <t>65314526C</t>
  </si>
  <si>
    <t>Gomez Oliver</t>
  </si>
  <si>
    <t>98902343V</t>
  </si>
  <si>
    <t>Barco Abad</t>
  </si>
  <si>
    <t>14870323A</t>
  </si>
  <si>
    <t>Cabello Dávila</t>
  </si>
  <si>
    <t>82665243X</t>
  </si>
  <si>
    <t>Agullo Cortina</t>
  </si>
  <si>
    <t>64606164D</t>
  </si>
  <si>
    <t>Morell Pino</t>
  </si>
  <si>
    <t>16108062H</t>
  </si>
  <si>
    <t>Alcántara Llano</t>
  </si>
  <si>
    <t>20387508H</t>
  </si>
  <si>
    <t>Silva Iriarte</t>
  </si>
  <si>
    <t>96005392N</t>
  </si>
  <si>
    <t>Seguí Santos</t>
  </si>
  <si>
    <t>31685954A</t>
  </si>
  <si>
    <t>Redondo Juan</t>
  </si>
  <si>
    <t>75380414C</t>
  </si>
  <si>
    <t>Llopis Mosquera</t>
  </si>
  <si>
    <t>48578115R</t>
  </si>
  <si>
    <t>Villar Badía</t>
  </si>
  <si>
    <t>93535977F</t>
  </si>
  <si>
    <t>Iglesias Mur</t>
  </si>
  <si>
    <t>19927874R</t>
  </si>
  <si>
    <t>Soto Rosa</t>
  </si>
  <si>
    <t>98368093E</t>
  </si>
  <si>
    <t>Soriano Codina</t>
  </si>
  <si>
    <t>59235419H</t>
  </si>
  <si>
    <t>Villegas Padilla</t>
  </si>
  <si>
    <t>59445166G</t>
  </si>
  <si>
    <t>Antón Marí</t>
  </si>
  <si>
    <t>54092910T</t>
  </si>
  <si>
    <t>Fajardo Roman</t>
  </si>
  <si>
    <t>34108238N</t>
  </si>
  <si>
    <t>Yáñez Piquer</t>
  </si>
  <si>
    <t>13616866X</t>
  </si>
  <si>
    <t>Torres Borrás</t>
  </si>
  <si>
    <t>63394824M</t>
  </si>
  <si>
    <t>Gabaldón Jover</t>
  </si>
  <si>
    <t>53964424W</t>
  </si>
  <si>
    <t>Tirado Hervia</t>
  </si>
  <si>
    <t>64146617M</t>
  </si>
  <si>
    <t>Jovita</t>
  </si>
  <si>
    <t>Hernández Escribano</t>
  </si>
  <si>
    <t>98929018S</t>
  </si>
  <si>
    <t>Aliaga Morales</t>
  </si>
  <si>
    <t>68801912E</t>
  </si>
  <si>
    <t>Cortina Galindo</t>
  </si>
  <si>
    <t>96932580D</t>
  </si>
  <si>
    <t>Aguado Arteaga</t>
  </si>
  <si>
    <t>25774577W</t>
  </si>
  <si>
    <t>Valentín Colom</t>
  </si>
  <si>
    <t>59021071C</t>
  </si>
  <si>
    <t>Iniesta Ochoa</t>
  </si>
  <si>
    <t>34807516A</t>
  </si>
  <si>
    <t>Gálvez Camacho</t>
  </si>
  <si>
    <t>59904295D</t>
  </si>
  <si>
    <t>Sales Sanchez</t>
  </si>
  <si>
    <t>14848696P</t>
  </si>
  <si>
    <t>Guardiola Ribes</t>
  </si>
  <si>
    <t>52436144L</t>
  </si>
  <si>
    <t>Morell Valdés</t>
  </si>
  <si>
    <t>28514105X</t>
  </si>
  <si>
    <t>Pujadas Rocamora</t>
  </si>
  <si>
    <t>28851187Y</t>
  </si>
  <si>
    <t>Pino Garcés</t>
  </si>
  <si>
    <t>43250369L</t>
  </si>
  <si>
    <t>Castrillo Lasa</t>
  </si>
  <si>
    <t>78931472Q</t>
  </si>
  <si>
    <t>Tormo Sainz</t>
  </si>
  <si>
    <t>26697406G</t>
  </si>
  <si>
    <t>Linares Tovar</t>
  </si>
  <si>
    <t>89101631S</t>
  </si>
  <si>
    <t>Roig Zamora</t>
  </si>
  <si>
    <t>93937065K</t>
  </si>
  <si>
    <t>Jaén Tejera</t>
  </si>
  <si>
    <t>73959112C</t>
  </si>
  <si>
    <t>Elías Morera</t>
  </si>
  <si>
    <t>34807018C</t>
  </si>
  <si>
    <t>Ramón Naranjo</t>
  </si>
  <si>
    <t>58883548R</t>
  </si>
  <si>
    <t>Lourdes</t>
  </si>
  <si>
    <t>Jordá Tur</t>
  </si>
  <si>
    <t>96717423B</t>
  </si>
  <si>
    <t>Guillen Perea</t>
  </si>
  <si>
    <t>17775861G</t>
  </si>
  <si>
    <t>Ricart Lozano</t>
  </si>
  <si>
    <t>99141208R</t>
  </si>
  <si>
    <t>Falcó Lobato</t>
  </si>
  <si>
    <t>63315904N</t>
  </si>
  <si>
    <t>Amaya Carlos</t>
  </si>
  <si>
    <t>30168642C</t>
  </si>
  <si>
    <t>Cordero Vaquero</t>
  </si>
  <si>
    <t>47107354W</t>
  </si>
  <si>
    <t>Méndez Vilalta</t>
  </si>
  <si>
    <t>93875684R</t>
  </si>
  <si>
    <t>Lucas Ibañez</t>
  </si>
  <si>
    <t>63870705E</t>
  </si>
  <si>
    <t>Gertrudis</t>
  </si>
  <si>
    <t>Carbonell Bejarano</t>
  </si>
  <si>
    <t>85166825T</t>
  </si>
  <si>
    <t>Reyes Echevarría</t>
  </si>
  <si>
    <t>31754307R</t>
  </si>
  <si>
    <t>Hervás Godoy</t>
  </si>
  <si>
    <t>13955423B</t>
  </si>
  <si>
    <t>Roma Muñoz</t>
  </si>
  <si>
    <t>29310668G</t>
  </si>
  <si>
    <t>Vargas Rebollo</t>
  </si>
  <si>
    <t>52128506P</t>
  </si>
  <si>
    <t>Pedro Benavent</t>
  </si>
  <si>
    <t>26819453C</t>
  </si>
  <si>
    <t>Vilaplana Garcés</t>
  </si>
  <si>
    <t>48312220X</t>
  </si>
  <si>
    <t>Sastre Posada</t>
  </si>
  <si>
    <t>10802413V</t>
  </si>
  <si>
    <t>Rosado Vidal</t>
  </si>
  <si>
    <t>40840456F</t>
  </si>
  <si>
    <t>Hurtado Iniesta</t>
  </si>
  <si>
    <t>23284817R</t>
  </si>
  <si>
    <t>Delia</t>
  </si>
  <si>
    <t>Milla Mayol</t>
  </si>
  <si>
    <t>78810913C</t>
  </si>
  <si>
    <t>Jaén Fabra</t>
  </si>
  <si>
    <t>88700666V</t>
  </si>
  <si>
    <t>Almagro Zabaleta</t>
  </si>
  <si>
    <t>87771912H</t>
  </si>
  <si>
    <t>Colom Verdugo</t>
  </si>
  <si>
    <t>11547701B</t>
  </si>
  <si>
    <t>Calderón Company</t>
  </si>
  <si>
    <t>51245528H</t>
  </si>
  <si>
    <t>Rebollo Cervantes</t>
  </si>
  <si>
    <t>68563993C</t>
  </si>
  <si>
    <t>Monreal Amores</t>
  </si>
  <si>
    <t>76743595Z</t>
  </si>
  <si>
    <t>Ayala Saez</t>
  </si>
  <si>
    <t>42024190Q</t>
  </si>
  <si>
    <t>Otero Somoza</t>
  </si>
  <si>
    <t>28744129N</t>
  </si>
  <si>
    <t>Granados Cánovas</t>
  </si>
  <si>
    <t>46157104E</t>
  </si>
  <si>
    <t>Villalobos Carreras</t>
  </si>
  <si>
    <t>54165752S</t>
  </si>
  <si>
    <t>Gutiérrez Castilla</t>
  </si>
  <si>
    <t>18978610H</t>
  </si>
  <si>
    <t>Mulet Arévalo</t>
  </si>
  <si>
    <t>92055592Q</t>
  </si>
  <si>
    <t>Solera Sarmiento</t>
  </si>
  <si>
    <t>88159798D</t>
  </si>
  <si>
    <t>Lasa Barros</t>
  </si>
  <si>
    <t>95604634R</t>
  </si>
  <si>
    <t>Florencia</t>
  </si>
  <si>
    <t>Bermudez Olivé</t>
  </si>
  <si>
    <t>81677179Z</t>
  </si>
  <si>
    <t>Santamaria Bosch</t>
  </si>
  <si>
    <t>46656623N</t>
  </si>
  <si>
    <t>Reig Dominguez</t>
  </si>
  <si>
    <t>47664281C</t>
  </si>
  <si>
    <t>Santana Báez</t>
  </si>
  <si>
    <t>68884825V</t>
  </si>
  <si>
    <t>Boada Antón</t>
  </si>
  <si>
    <t>34175913H</t>
  </si>
  <si>
    <t>Larrea Lorenzo</t>
  </si>
  <si>
    <t>62680761V</t>
  </si>
  <si>
    <t>Nuñez Macías</t>
  </si>
  <si>
    <t>75057904A</t>
  </si>
  <si>
    <t>Cerdá Echeverría</t>
  </si>
  <si>
    <t>34878201Z</t>
  </si>
  <si>
    <t>Vilanova Palmer</t>
  </si>
  <si>
    <t>74521699X</t>
  </si>
  <si>
    <t>Campos Vélez</t>
  </si>
  <si>
    <t>41795426E</t>
  </si>
  <si>
    <t>Montes Fuente</t>
  </si>
  <si>
    <t>39556163R</t>
  </si>
  <si>
    <t>Tormo Parejo</t>
  </si>
  <si>
    <t>25884911S</t>
  </si>
  <si>
    <t>Vera</t>
  </si>
  <si>
    <t>Zorrilla Mascaró</t>
  </si>
  <si>
    <t>47755611F</t>
  </si>
  <si>
    <t>Abascal Farré</t>
  </si>
  <si>
    <t>81425331D</t>
  </si>
  <si>
    <t>Porras Vega</t>
  </si>
  <si>
    <t>20392465K</t>
  </si>
  <si>
    <t>Torrents Bermudez</t>
  </si>
  <si>
    <t>89236914C</t>
  </si>
  <si>
    <t>Zorrilla Simó</t>
  </si>
  <si>
    <t>30112398H</t>
  </si>
  <si>
    <t>Alvarez Vergara</t>
  </si>
  <si>
    <t>75460958F</t>
  </si>
  <si>
    <t>Vilalta Tello</t>
  </si>
  <si>
    <t>46923268B</t>
  </si>
  <si>
    <t>Sebastian</t>
  </si>
  <si>
    <t>Rovira Barco</t>
  </si>
  <si>
    <t>79893334D</t>
  </si>
  <si>
    <t>Ávila Torre</t>
  </si>
  <si>
    <t>80055409V</t>
  </si>
  <si>
    <t>Piñol Ribes</t>
  </si>
  <si>
    <t>20925266G</t>
  </si>
  <si>
    <t>Mulet Hoyos</t>
  </si>
  <si>
    <t>81463741J</t>
  </si>
  <si>
    <t>Jara Bayona</t>
  </si>
  <si>
    <t>28585047J</t>
  </si>
  <si>
    <t>Pánfilo</t>
  </si>
  <si>
    <t>Soto Moreno</t>
  </si>
  <si>
    <t>72786905W</t>
  </si>
  <si>
    <t>Esteve Ballester</t>
  </si>
  <si>
    <t>68386186V</t>
  </si>
  <si>
    <t>Hoz Pi</t>
  </si>
  <si>
    <t>65983767Z</t>
  </si>
  <si>
    <t>Duque Cuéllar</t>
  </si>
  <si>
    <t>93289078M</t>
  </si>
  <si>
    <t>Arco Barbero</t>
  </si>
  <si>
    <t>58188117T</t>
  </si>
  <si>
    <t>Guardia Garriga</t>
  </si>
  <si>
    <t>61323442T</t>
  </si>
  <si>
    <t>Adalberto</t>
  </si>
  <si>
    <t>Carretero Revilla</t>
  </si>
  <si>
    <t>42892629X</t>
  </si>
  <si>
    <t>Marí Angulo</t>
  </si>
  <si>
    <t>64802146C</t>
  </si>
  <si>
    <t>Peñas Rosa</t>
  </si>
  <si>
    <t>35837372J</t>
  </si>
  <si>
    <t>Azcona Ruano</t>
  </si>
  <si>
    <t>91500835V</t>
  </si>
  <si>
    <t>Balaguer Asensio</t>
  </si>
  <si>
    <t>70126013D</t>
  </si>
  <si>
    <t>Lozano Gonzalez</t>
  </si>
  <si>
    <t>19661479V</t>
  </si>
  <si>
    <t>Fernandez Pol</t>
  </si>
  <si>
    <t>36501686E</t>
  </si>
  <si>
    <t>Isabela</t>
  </si>
  <si>
    <t>Chacón Manrique</t>
  </si>
  <si>
    <t>44643740A</t>
  </si>
  <si>
    <t>Sureda Colomer</t>
  </si>
  <si>
    <t>70902062Z</t>
  </si>
  <si>
    <t>Castells Suárez</t>
  </si>
  <si>
    <t>39708352T</t>
  </si>
  <si>
    <t>Carbonell Guzmán</t>
  </si>
  <si>
    <t>51156383P</t>
  </si>
  <si>
    <t>Figuerola Hierro</t>
  </si>
  <si>
    <t>20399166B</t>
  </si>
  <si>
    <t>Gisbert Águila</t>
  </si>
  <si>
    <t>25889817Y</t>
  </si>
  <si>
    <t>Miró Sainz</t>
  </si>
  <si>
    <t>41941307A</t>
  </si>
  <si>
    <t>Borrás Mendoza</t>
  </si>
  <si>
    <t>67395343N</t>
  </si>
  <si>
    <t>Perelló Palomares</t>
  </si>
  <si>
    <t>48364624K</t>
  </si>
  <si>
    <t>Adán Camino</t>
  </si>
  <si>
    <t>45594314E</t>
  </si>
  <si>
    <t>Polo Cuevas</t>
  </si>
  <si>
    <t>70096056G</t>
  </si>
  <si>
    <t>Canet Vilar</t>
  </si>
  <si>
    <t>92305263A</t>
  </si>
  <si>
    <t>Quirós Carbonell</t>
  </si>
  <si>
    <t>49506414H</t>
  </si>
  <si>
    <t>Puente Gracia</t>
  </si>
  <si>
    <t>48663168M</t>
  </si>
  <si>
    <t>Canals Madrid</t>
  </si>
  <si>
    <t>57163435F</t>
  </si>
  <si>
    <t>Galván Pedrero</t>
  </si>
  <si>
    <t>38525691Z</t>
  </si>
  <si>
    <t>Ojeda Garzón</t>
  </si>
  <si>
    <t>38679238X</t>
  </si>
  <si>
    <t>Puerta Rosselló</t>
  </si>
  <si>
    <t>45888615P</t>
  </si>
  <si>
    <t>Pou Quintana</t>
  </si>
  <si>
    <t>54821895H</t>
  </si>
  <si>
    <t>Mármol Seguí</t>
  </si>
  <si>
    <t>50859106V</t>
  </si>
  <si>
    <t>Prat Carro</t>
  </si>
  <si>
    <t>79035821T</t>
  </si>
  <si>
    <t>Santiago Barriga</t>
  </si>
  <si>
    <t>11090375B</t>
  </si>
  <si>
    <t>Fernando</t>
  </si>
  <si>
    <t>Ramón Jurado</t>
  </si>
  <si>
    <t>53641620N</t>
  </si>
  <si>
    <t>Madrid Ortiz</t>
  </si>
  <si>
    <t>24901675Z</t>
  </si>
  <si>
    <t>Alemany Coello</t>
  </si>
  <si>
    <t>43431135L</t>
  </si>
  <si>
    <t>Ropero Falcón</t>
  </si>
  <si>
    <t>56102216W</t>
  </si>
  <si>
    <t>Ruiz Benet</t>
  </si>
  <si>
    <t>49756775W</t>
  </si>
  <si>
    <t>Arnau Pellicer</t>
  </si>
  <si>
    <t>13640641A</t>
  </si>
  <si>
    <t>Rivera Atienza</t>
  </si>
  <si>
    <t>81232723F</t>
  </si>
  <si>
    <t>Garcia Camino</t>
  </si>
  <si>
    <t>69351661W</t>
  </si>
  <si>
    <t>Rosell Marin</t>
  </si>
  <si>
    <t>23002619T</t>
  </si>
  <si>
    <t>Herrera Garay</t>
  </si>
  <si>
    <t>27300308F</t>
  </si>
  <si>
    <t>Maestre Blasco</t>
  </si>
  <si>
    <t>81517674W</t>
  </si>
  <si>
    <t>Tejera Mendoza</t>
  </si>
  <si>
    <t>12294268N</t>
  </si>
  <si>
    <t>Llano Benavides</t>
  </si>
  <si>
    <t>84034458J</t>
  </si>
  <si>
    <t>Salas Nogueira</t>
  </si>
  <si>
    <t>16260059H</t>
  </si>
  <si>
    <t>Carvajal Murcia</t>
  </si>
  <si>
    <t>80026490H</t>
  </si>
  <si>
    <t>Cañellas Baró</t>
  </si>
  <si>
    <t>93416931F</t>
  </si>
  <si>
    <t>Planas Bolaños</t>
  </si>
  <si>
    <t>81411165D</t>
  </si>
  <si>
    <t>Contreras Bosch</t>
  </si>
  <si>
    <t>11449899A</t>
  </si>
  <si>
    <t>Benavides Carrión</t>
  </si>
  <si>
    <t>23364022P</t>
  </si>
  <si>
    <t>Enríquez Lamas</t>
  </si>
  <si>
    <t>49804545N</t>
  </si>
  <si>
    <t>Almansa Verdejo</t>
  </si>
  <si>
    <t>10411072P</t>
  </si>
  <si>
    <t>Bru Cruz</t>
  </si>
  <si>
    <t>62748921F</t>
  </si>
  <si>
    <t>Alonso Gimeno</t>
  </si>
  <si>
    <t>32009017F</t>
  </si>
  <si>
    <t>Luz Aguado</t>
  </si>
  <si>
    <t>92247543H</t>
  </si>
  <si>
    <t>Neira Lago</t>
  </si>
  <si>
    <t>49991603G</t>
  </si>
  <si>
    <t>Márquez Roura</t>
  </si>
  <si>
    <t>64353660B</t>
  </si>
  <si>
    <t>Palomar Guitart</t>
  </si>
  <si>
    <t>28865299H</t>
  </si>
  <si>
    <t>Ribera Baños</t>
  </si>
  <si>
    <t>28461234A</t>
  </si>
  <si>
    <t>Acedo Esteban</t>
  </si>
  <si>
    <t>11649973A</t>
  </si>
  <si>
    <t>Verdejo Buendía</t>
  </si>
  <si>
    <t>71589879E</t>
  </si>
  <si>
    <t>Villalonga Morell</t>
  </si>
  <si>
    <t>11763581J</t>
  </si>
  <si>
    <t>Pardo Saldaña</t>
  </si>
  <si>
    <t>81087911S</t>
  </si>
  <si>
    <t>Mayol Yáñez</t>
  </si>
  <si>
    <t>51090753Z</t>
  </si>
  <si>
    <t>Ulises</t>
  </si>
  <si>
    <t>Seco Feijoo</t>
  </si>
  <si>
    <t>31284639S</t>
  </si>
  <si>
    <t>Puga Marco</t>
  </si>
  <si>
    <t>49835073J</t>
  </si>
  <si>
    <t>Soler Llorente</t>
  </si>
  <si>
    <t>69031622W</t>
  </si>
  <si>
    <t>Dora</t>
  </si>
  <si>
    <t>Díaz Sanmartín</t>
  </si>
  <si>
    <t>73138291L</t>
  </si>
  <si>
    <t>Casal Falcón</t>
  </si>
  <si>
    <t>15135089Y</t>
  </si>
  <si>
    <t>Carranza Lobato</t>
  </si>
  <si>
    <t>81259224D</t>
  </si>
  <si>
    <t>Ponce Ricart</t>
  </si>
  <si>
    <t>34522508X</t>
  </si>
  <si>
    <t>Trujillo Correa</t>
  </si>
  <si>
    <t>70851949L</t>
  </si>
  <si>
    <t>Valera Martín</t>
  </si>
  <si>
    <t>35068212D</t>
  </si>
  <si>
    <t>Pagès Garrido</t>
  </si>
  <si>
    <t>58661390X</t>
  </si>
  <si>
    <t>Cabeza Dávila</t>
  </si>
  <si>
    <t>98823775Z</t>
  </si>
  <si>
    <t>Cuéllar Armengol</t>
  </si>
  <si>
    <t>42767309V</t>
  </si>
  <si>
    <t>Escribano Morillo</t>
  </si>
  <si>
    <t>68064780B</t>
  </si>
  <si>
    <t>Cobos Quevedo</t>
  </si>
  <si>
    <t>59858749Z</t>
  </si>
  <si>
    <t>Valero Piquer</t>
  </si>
  <si>
    <t>11544307K</t>
  </si>
  <si>
    <t>Ortiz Hoyos</t>
  </si>
  <si>
    <t>78161168S</t>
  </si>
  <si>
    <t>Barroso López</t>
  </si>
  <si>
    <t>61001360J</t>
  </si>
  <si>
    <t>Menéndez Barco</t>
  </si>
  <si>
    <t>71814494X</t>
  </si>
  <si>
    <t>Arroyo Barceló</t>
  </si>
  <si>
    <t>82215583H</t>
  </si>
  <si>
    <t>Torrijos Tormo</t>
  </si>
  <si>
    <t>12467238Y</t>
  </si>
  <si>
    <t>Briones Salazar</t>
  </si>
  <si>
    <t>11702422E</t>
  </si>
  <si>
    <t>Rincón Nogueira</t>
  </si>
  <si>
    <t>57462681Z</t>
  </si>
  <si>
    <t>Blanch Castrillo</t>
  </si>
  <si>
    <t>75888930T</t>
  </si>
  <si>
    <t>Marc</t>
  </si>
  <si>
    <t>Tello Benet</t>
  </si>
  <si>
    <t>90234856K</t>
  </si>
  <si>
    <t>Ricart Cervera</t>
  </si>
  <si>
    <t>31906521X</t>
  </si>
  <si>
    <t>Riquelme Mayoral</t>
  </si>
  <si>
    <t>70230242P</t>
  </si>
  <si>
    <t>Priego Baños</t>
  </si>
  <si>
    <t>38432218T</t>
  </si>
  <si>
    <t>Manzanares Exposito</t>
  </si>
  <si>
    <t>87296170T</t>
  </si>
  <si>
    <t>Leon Alegre</t>
  </si>
  <si>
    <t>78933998D</t>
  </si>
  <si>
    <t>Méndez Blázquez</t>
  </si>
  <si>
    <t>96596968J</t>
  </si>
  <si>
    <t>Baró Novoa</t>
  </si>
  <si>
    <t>12117655K</t>
  </si>
  <si>
    <t>Arenas Luz</t>
  </si>
  <si>
    <t>61909248C</t>
  </si>
  <si>
    <t>Guzmán Juan</t>
  </si>
  <si>
    <t>12395791C</t>
  </si>
  <si>
    <t>Gimenez Clavero</t>
  </si>
  <si>
    <t>81308004C</t>
  </si>
  <si>
    <t>Heras Alfonso</t>
  </si>
  <si>
    <t>59423044K</t>
  </si>
  <si>
    <t>Moll Blanco</t>
  </si>
  <si>
    <t>41696410B</t>
  </si>
  <si>
    <t>Roldán Casals</t>
  </si>
  <si>
    <t>54989703G</t>
  </si>
  <si>
    <t>Santana Palma</t>
  </si>
  <si>
    <t>49402347S</t>
  </si>
  <si>
    <t>Girón Toledo</t>
  </si>
  <si>
    <t>19219064P</t>
  </si>
  <si>
    <t>Abascal Sedano</t>
  </si>
  <si>
    <t>17625000R</t>
  </si>
  <si>
    <t>Manrique Vigil</t>
  </si>
  <si>
    <t>44566104S</t>
  </si>
  <si>
    <t>Ribes Barrio</t>
  </si>
  <si>
    <t>14628144V</t>
  </si>
  <si>
    <t>Carrasco Mariscal</t>
  </si>
  <si>
    <t>44184655J</t>
  </si>
  <si>
    <t>Ferreras Dominguez</t>
  </si>
  <si>
    <t>74016141X</t>
  </si>
  <si>
    <t>Cárdenas Navarro</t>
  </si>
  <si>
    <t>32533228L</t>
  </si>
  <si>
    <t>Sáenz Molina</t>
  </si>
  <si>
    <t>76198770G</t>
  </si>
  <si>
    <t>Alonso Martorell</t>
  </si>
  <si>
    <t>83915531L</t>
  </si>
  <si>
    <t>Almansa Landa</t>
  </si>
  <si>
    <t>32147182L</t>
  </si>
  <si>
    <t>Marita</t>
  </si>
  <si>
    <t>Folch Pomares</t>
  </si>
  <si>
    <t>46381961D</t>
  </si>
  <si>
    <t>Rubio Alvarez</t>
  </si>
  <si>
    <t>75723215W</t>
  </si>
  <si>
    <t>Abellán Cal</t>
  </si>
  <si>
    <t>73286611R</t>
  </si>
  <si>
    <t>Palomino Duque</t>
  </si>
  <si>
    <t>Suma de Total Gastado</t>
  </si>
  <si>
    <t>Etiquetas de fila</t>
  </si>
  <si>
    <t>Total general</t>
  </si>
  <si>
    <t>Beneficios por Provincia</t>
  </si>
  <si>
    <t>2024</t>
  </si>
  <si>
    <t>Trim.1</t>
  </si>
  <si>
    <t>Trim.2</t>
  </si>
  <si>
    <t>Beneficios en Tiempo</t>
  </si>
  <si>
    <t>Cuenta de DNI</t>
  </si>
  <si>
    <t>KPI Beneficio Neto</t>
  </si>
  <si>
    <t>KPI's</t>
  </si>
  <si>
    <t xml:space="preserve"> Porcentaje Devueltos</t>
  </si>
  <si>
    <t xml:space="preserve"> Beneficio Neto</t>
  </si>
  <si>
    <t xml:space="preserve"> Porcentaje En Proceso</t>
  </si>
  <si>
    <t>Porcentaje Entregados</t>
  </si>
  <si>
    <t>2023</t>
  </si>
  <si>
    <t>Trim.3</t>
  </si>
  <si>
    <t>Trim.4</t>
  </si>
  <si>
    <t>2025</t>
  </si>
  <si>
    <t>Textos Macro</t>
  </si>
  <si>
    <t>Beneficios</t>
  </si>
  <si>
    <t>Tablas para obtener los KPI's</t>
  </si>
  <si>
    <t>Segmentadores</t>
  </si>
  <si>
    <t>KPI's Beneficios</t>
  </si>
  <si>
    <t>KPI's Ventas</t>
  </si>
  <si>
    <t>KPI Ventas Netas</t>
  </si>
  <si>
    <t xml:space="preserve"> Ventas Netas</t>
  </si>
  <si>
    <t>Porcentaje Beneficios</t>
  </si>
  <si>
    <t>Porcentaje Ventas</t>
  </si>
  <si>
    <t>Ventas</t>
  </si>
  <si>
    <t>Tipo Pedido</t>
  </si>
  <si>
    <t>Tipo Estado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</si>
</sst>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i/>
      <sz val="11"/>
      <color theme="1"/>
      <name val="Aptos Narrow"/>
      <scheme val="minor"/>
    </font>
    <font>
      <b/>
      <i/>
      <sz val="11"/>
      <color theme="0"/>
      <name val="Aptos Narrow"/>
      <scheme val="minor"/>
    </font>
    <font>
      <b/>
      <sz val="10"/>
      <color theme="0"/>
      <name val="Aptos Narrow"/>
      <family val="2"/>
      <scheme val="minor"/>
    </font>
    <font>
      <sz val="11"/>
      <color theme="1"/>
      <name val="Engravers MT"/>
      <family val="1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4" fillId="3" borderId="1" xfId="2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2" fillId="5" borderId="0" xfId="0" applyFont="1" applyFill="1"/>
    <xf numFmtId="0" fontId="2" fillId="5" borderId="2" xfId="0" applyFont="1" applyFill="1" applyBorder="1"/>
    <xf numFmtId="0" fontId="5" fillId="5" borderId="0" xfId="0" applyFont="1" applyFill="1"/>
    <xf numFmtId="164" fontId="4" fillId="3" borderId="1" xfId="1" applyNumberFormat="1" applyFont="1" applyFill="1" applyBorder="1" applyAlignment="1">
      <alignment horizontal="right"/>
    </xf>
    <xf numFmtId="164" fontId="0" fillId="0" borderId="0" xfId="0" applyNumberFormat="1"/>
    <xf numFmtId="10" fontId="0" fillId="0" borderId="0" xfId="0" applyNumberFormat="1"/>
    <xf numFmtId="0" fontId="0" fillId="6" borderId="0" xfId="0" applyFill="1"/>
    <xf numFmtId="0" fontId="6" fillId="6" borderId="0" xfId="0" applyFont="1" applyFill="1"/>
    <xf numFmtId="10" fontId="0" fillId="0" borderId="0" xfId="2" applyNumberFormat="1" applyFont="1"/>
    <xf numFmtId="164" fontId="0" fillId="0" borderId="0" xfId="1" applyNumberFormat="1" applyFont="1"/>
    <xf numFmtId="1" fontId="0" fillId="0" borderId="0" xfId="1" applyNumberFormat="1" applyFont="1"/>
    <xf numFmtId="0" fontId="7" fillId="2" borderId="1" xfId="0" applyFont="1" applyFill="1" applyBorder="1" applyAlignment="1">
      <alignment horizontal="center"/>
    </xf>
    <xf numFmtId="1" fontId="4" fillId="3" borderId="1" xfId="1" applyNumberFormat="1" applyFont="1" applyFill="1" applyBorder="1" applyAlignment="1">
      <alignment horizontal="right"/>
    </xf>
    <xf numFmtId="1" fontId="0" fillId="0" borderId="0" xfId="0" applyNumberFormat="1"/>
    <xf numFmtId="0" fontId="7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NumberFormat="1"/>
  </cellXfs>
  <cellStyles count="3">
    <cellStyle name="Moneda" xfId="1" builtinId="4"/>
    <cellStyle name="Normal" xfId="0" builtinId="0"/>
    <cellStyle name="Porcentaje" xfId="2" builtinId="5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[Proyecto_Modulo_1.xlsm]Análisis!PorcentajeEstados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889500493716571E-3"/>
          <c:y val="6.6404441380311333E-2"/>
          <c:w val="0.78073835983392681"/>
          <c:h val="0.93359555861968868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Análisis!$M$44:$M$47</c:f>
              <c:strCache>
                <c:ptCount val="3"/>
                <c:pt idx="0">
                  <c:v>Devuelto</c:v>
                </c:pt>
                <c:pt idx="1">
                  <c:v>En Proceso</c:v>
                </c:pt>
                <c:pt idx="2">
                  <c:v>Entregado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144668.12999999992</c:v>
                </c:pt>
                <c:pt idx="1">
                  <c:v>179240.0199999999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5F-45AC-9BAF-338E89193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87048501279215"/>
          <c:y val="6.4832951454440721E-2"/>
          <c:w val="0.17530212204343243"/>
          <c:h val="0.311062084981312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[Proyecto_Modulo_1.xlsm]Análisis!BeneficiosTipoPedido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42-4105-AD06-E33A69D25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358349732623771"/>
          <c:y val="3.5768076640100462E-2"/>
          <c:w val="0.19563119325354594"/>
          <c:h val="0.210166469801698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[Proyecto_Modulo_1.xlsm]Análisis!BeneficiosTiempo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4AB-4977-AD89-FD72C8F35B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[Proyecto_Modulo_1.xlsm]Análisis!BeneficiosProvincia</c:name>
    <c:fmtId val="16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A6-4B56-A29A-D0D497C7D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[Proyecto_Modulo_1.xlsm]Análisis!BeneficiosTiempo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8722876562883684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7.1046870512732785E-2"/>
                  <c:h val="7.0684259564884958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537520699370627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6.63285131131992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3.095330611949301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0286841896077079E-2"/>
              <c:y val="6.19066122389859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75351702111E-2"/>
              <c:y val="-4.42190087421328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0.14465398823981121"/>
              <c:y val="-5.2789137436266467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9.6044945440248039E-2"/>
                  <c:h val="0.17517013891936006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7474774984827071E-2"/>
              <c:y val="9.285991835847894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59E-2"/>
              <c:y val="-7.7169682582864566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1692841495305904E-2"/>
              <c:y val="0.14295124658844591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3880928734318814E-2"/>
              <c:y val="-0.12150781915033655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4037290011786759E-2"/>
              <c:y val="0.1106665364937561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3.6069015973331731E-2"/>
              <c:y val="-5.8150542777158601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6749841848914168E-2"/>
              <c:y val="4.8640909616346088E-2"/>
            </c:manualLayout>
          </c:layout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layout>
            <c:manualLayout>
              <c:x val="-7.0111786035955706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layout>
            <c:manualLayout>
              <c:x val="-6.077289495941323E-2"/>
              <c:y val="4.9244383979898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layout>
            <c:manualLayout>
              <c:x val="-6.8555304189865288E-2"/>
              <c:y val="-7.738403196841268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layout>
            <c:manualLayout>
              <c:x val="-4.5208076498509026E-2"/>
              <c:y val="-4.92443839798989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layout>
            <c:manualLayout>
              <c:x val="-6.6998822343774869E-2"/>
              <c:y val="5.62792959770273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layout>
            <c:manualLayout>
              <c:x val="-6.0772894959413203E-2"/>
              <c:y val="-8.441894396554111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layout>
            <c:manualLayout>
              <c:x val="-6.3885858651594157E-2"/>
              <c:y val="0.119593503951183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layout>
            <c:manualLayout>
              <c:x val="-2.1675296561878787E-2"/>
              <c:y val="1.40698239942568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6.2128211342406696E-2"/>
              <c:y val="-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7441063109190872E-2"/>
              <c:y val="9.145385596266954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4.65043838983542E-2"/>
              <c:y val="-0.1055236799569263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6.6815359575622429E-2"/>
              <c:y val="9.145385596266951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7.506474046608215E-2"/>
              <c:y val="-2.1104735991385279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5.6316147533219084E-2"/>
              <c:y val="4.220947198277055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6.2565678510840106E-2"/>
              <c:y val="-6.331420797415585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19050" cap="rnd" cmpd="sng" algn="ctr">
            <a:solidFill>
              <a:schemeClr val="accent1">
                <a:shade val="95000"/>
                <a:satMod val="105000"/>
              </a:schemeClr>
            </a:solidFill>
            <a:round/>
          </a:ln>
          <a:effectLst/>
        </c:spPr>
        <c:marker>
          <c:symbol val="circle"/>
          <c:size val="17"/>
          <c:spPr>
            <a:solidFill>
              <a:schemeClr val="lt1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-2.7796388312393009E-2"/>
              <c:y val="4.22094719827705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Análisis!$I$22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7.506474046608215E-2"/>
                  <c:y val="-2.11047359913852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151-4E10-895F-42FEFC19B5A2}"/>
                </c:ext>
              </c:extLst>
            </c:dLbl>
            <c:dLbl>
              <c:idx val="2"/>
              <c:layout>
                <c:manualLayout>
                  <c:x val="-6.6815359575622429E-2"/>
                  <c:y val="9.14538559626695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151-4E10-895F-42FEFC19B5A2}"/>
                </c:ext>
              </c:extLst>
            </c:dLbl>
            <c:dLbl>
              <c:idx val="3"/>
              <c:layout>
                <c:manualLayout>
                  <c:x val="-6.2128211342406696E-2"/>
                  <c:y val="-4.2209471982770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151-4E10-895F-42FEFC19B5A2}"/>
                </c:ext>
              </c:extLst>
            </c:dLbl>
            <c:dLbl>
              <c:idx val="4"/>
              <c:layout>
                <c:manualLayout>
                  <c:x val="-5.7441063109190872E-2"/>
                  <c:y val="9.14538559626695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151-4E10-895F-42FEFC19B5A2}"/>
                </c:ext>
              </c:extLst>
            </c:dLbl>
            <c:dLbl>
              <c:idx val="5"/>
              <c:layout>
                <c:manualLayout>
                  <c:x val="-4.65043838983542E-2"/>
                  <c:y val="-0.1055236799569263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151-4E10-895F-42FEFC19B5A2}"/>
                </c:ext>
              </c:extLst>
            </c:dLbl>
            <c:dLbl>
              <c:idx val="6"/>
              <c:layout>
                <c:manualLayout>
                  <c:x val="-5.6316147533219084E-2"/>
                  <c:y val="4.22094719827705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151-4E10-895F-42FEFC19B5A2}"/>
                </c:ext>
              </c:extLst>
            </c:dLbl>
            <c:dLbl>
              <c:idx val="7"/>
              <c:layout>
                <c:manualLayout>
                  <c:x val="-6.2565678510840106E-2"/>
                  <c:y val="-6.33142079741558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151-4E10-895F-42FEFC19B5A2}"/>
                </c:ext>
              </c:extLst>
            </c:dLbl>
            <c:dLbl>
              <c:idx val="8"/>
              <c:layout>
                <c:manualLayout>
                  <c:x val="-2.7796388312393009E-2"/>
                  <c:y val="4.2209471982770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151-4E10-895F-42FEFC19B5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Análisis!$H$23:$H$35</c:f>
              <c:multiLvlStrCache>
                <c:ptCount val="9"/>
                <c:lvl>
                  <c:pt idx="0">
                    <c:v>Trim.3</c:v>
                  </c:pt>
                  <c:pt idx="1">
                    <c:v>Trim.4</c:v>
                  </c:pt>
                  <c:pt idx="2">
                    <c:v>Trim.1</c:v>
                  </c:pt>
                  <c:pt idx="3">
                    <c:v>Trim.2</c:v>
                  </c:pt>
                  <c:pt idx="4">
                    <c:v>Trim.3</c:v>
                  </c:pt>
                  <c:pt idx="5">
                    <c:v>Trim.4</c:v>
                  </c:pt>
                  <c:pt idx="6">
                    <c:v>Trim.1</c:v>
                  </c:pt>
                  <c:pt idx="7">
                    <c:v>Trim.2</c:v>
                  </c:pt>
                  <c:pt idx="8">
                    <c:v>Trim.3</c:v>
                  </c:pt>
                </c:lvl>
                <c:lvl>
                  <c:pt idx="0">
                    <c:v>2023</c:v>
                  </c:pt>
                  <c:pt idx="2">
                    <c:v>2024</c:v>
                  </c:pt>
                  <c:pt idx="6">
                    <c:v>2025</c:v>
                  </c:pt>
                </c:lvl>
              </c:multiLvlStrCache>
            </c:multiLvlStrRef>
          </c:cat>
          <c:val>
            <c:numRef>
              <c:f>Análisis!$I$23:$I$35</c:f>
              <c:numCache>
                <c:formatCode>_("€"* #,##0.00_);_("€"* \(#,##0.00\);_("€"* "-"??_);_(@_)</c:formatCode>
                <c:ptCount val="9"/>
                <c:pt idx="0">
                  <c:v>56651.669999999991</c:v>
                </c:pt>
                <c:pt idx="1">
                  <c:v>264423.42999999988</c:v>
                </c:pt>
                <c:pt idx="2">
                  <c:v>218896.13999999996</c:v>
                </c:pt>
                <c:pt idx="3">
                  <c:v>251992.38000000009</c:v>
                </c:pt>
                <c:pt idx="4">
                  <c:v>262161.49</c:v>
                </c:pt>
                <c:pt idx="5">
                  <c:v>220862.60000000003</c:v>
                </c:pt>
                <c:pt idx="6">
                  <c:v>244656.45999999996</c:v>
                </c:pt>
                <c:pt idx="7">
                  <c:v>269851.88000000012</c:v>
                </c:pt>
                <c:pt idx="8">
                  <c:v>203131.11000000002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51-4E10-895F-42FEFC19B5A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3990479"/>
        <c:axId val="1363322543"/>
      </c:lineChart>
      <c:catAx>
        <c:axId val="1443990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3322543"/>
        <c:crosses val="autoZero"/>
        <c:auto val="1"/>
        <c:lblAlgn val="ctr"/>
        <c:lblOffset val="100"/>
        <c:noMultiLvlLbl val="0"/>
      </c:catAx>
      <c:valAx>
        <c:axId val="1363322543"/>
        <c:scaling>
          <c:orientation val="minMax"/>
        </c:scaling>
        <c:delete val="1"/>
        <c:axPos val="l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443990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[Proyecto_Modulo_1.xlsm]Análisis!PorcentajeEstados</c:name>
    <c:fmtId val="11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2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3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5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>
              <a:lumMod val="75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2181943869021035E-2"/>
          <c:y val="8.483762110381364E-2"/>
          <c:w val="0.74575466105824917"/>
          <c:h val="0.89058480593151657"/>
        </c:manualLayout>
      </c:layout>
      <c:pie3DChart>
        <c:varyColors val="1"/>
        <c:ser>
          <c:idx val="0"/>
          <c:order val="0"/>
          <c:tx>
            <c:strRef>
              <c:f>Análisis!$N$43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Análisis!$M$44:$M$47</c:f>
              <c:strCache>
                <c:ptCount val="3"/>
                <c:pt idx="0">
                  <c:v>Devuelto</c:v>
                </c:pt>
                <c:pt idx="1">
                  <c:v>En Proceso</c:v>
                </c:pt>
                <c:pt idx="2">
                  <c:v>Entregado</c:v>
                </c:pt>
              </c:strCache>
            </c:strRef>
          </c:cat>
          <c:val>
            <c:numRef>
              <c:f>Análisis!$N$44:$N$47</c:f>
              <c:numCache>
                <c:formatCode>_("€"* #,##0.00_);_("€"* \(#,##0.00\);_("€"* "-"??_);_(@_)</c:formatCode>
                <c:ptCount val="3"/>
                <c:pt idx="0">
                  <c:v>144668.12999999992</c:v>
                </c:pt>
                <c:pt idx="1">
                  <c:v>179240.0199999999</c:v>
                </c:pt>
                <c:pt idx="2">
                  <c:v>1668719.0100000033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2B-42F2-9312-185B2B421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87048501279215"/>
          <c:y val="6.4832951454440721E-2"/>
          <c:w val="0.18361731897286648"/>
          <c:h val="0.311062084981312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[Proyecto_Modulo_1.xlsm]Análisis!BeneficiosTipoPedido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3">
              <a:lumMod val="50000"/>
            </a:schemeClr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0066965013692261E-2"/>
          <c:y val="8.9688229077989595E-2"/>
          <c:w val="0.69738193138066185"/>
          <c:h val="0.91031177092201043"/>
        </c:manualLayout>
      </c:layout>
      <c:pie3DChart>
        <c:varyColors val="1"/>
        <c:ser>
          <c:idx val="0"/>
          <c:order val="0"/>
          <c:tx>
            <c:strRef>
              <c:f>Análisis!$J$43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Análisis!$I$44:$I$46</c:f>
              <c:strCache>
                <c:ptCount val="2"/>
                <c:pt idx="0">
                  <c:v>Online</c:v>
                </c:pt>
                <c:pt idx="1">
                  <c:v>Tienda Física</c:v>
                </c:pt>
              </c:strCache>
            </c:strRef>
          </c:cat>
          <c:val>
            <c:numRef>
              <c:f>Análisis!$J$44:$J$46</c:f>
              <c:numCache>
                <c:formatCode>_("€"* #,##0.00_);_("€"* \(#,##0.00\);_("€"* "-"??_);_(@_)</c:formatCode>
                <c:ptCount val="2"/>
                <c:pt idx="0">
                  <c:v>1008864.5499999998</c:v>
                </c:pt>
                <c:pt idx="1">
                  <c:v>983762.61000000022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32-49D7-AA2E-EA10E699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9286191773202"/>
          <c:y val="9.7685786260785015E-2"/>
          <c:w val="0.20548869931782901"/>
          <c:h val="0.208973983317301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[Proyecto_Modulo_1.xlsm]Análisis!BeneficiosProvincia</c:name>
    <c:fmtId val="11"/>
  </c:pivotSource>
  <c:chart>
    <c:title>
      <c:tx>
        <c:strRef>
          <c:f>Análisis!$M$6</c:f>
          <c:strCache>
            <c:ptCount val="1"/>
            <c:pt idx="0">
              <c:v>Beneficios por Provincia</c:v>
            </c:pt>
          </c:strCache>
        </c:strRef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Análisis!$M$6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Análisis!$M$6</c:f>
              <c:strCache>
                <c:ptCount val="24"/>
                <c:pt idx="0">
                  <c:v>Alicante</c:v>
                </c:pt>
                <c:pt idx="1">
                  <c:v>Barcelona</c:v>
                </c:pt>
                <c:pt idx="2">
                  <c:v>Bilbao</c:v>
                </c:pt>
                <c:pt idx="3">
                  <c:v>Córdoba</c:v>
                </c:pt>
                <c:pt idx="4">
                  <c:v>Elche</c:v>
                </c:pt>
                <c:pt idx="5">
                  <c:v>Gijón</c:v>
                </c:pt>
                <c:pt idx="6">
                  <c:v>Granada</c:v>
                </c:pt>
                <c:pt idx="7">
                  <c:v>Hospitalet</c:v>
                </c:pt>
                <c:pt idx="8">
                  <c:v>La Coruña</c:v>
                </c:pt>
                <c:pt idx="9">
                  <c:v>Madrid</c:v>
                </c:pt>
                <c:pt idx="10">
                  <c:v>Málaga</c:v>
                </c:pt>
                <c:pt idx="11">
                  <c:v>Murcia</c:v>
                </c:pt>
                <c:pt idx="12">
                  <c:v>Oviedo</c:v>
                </c:pt>
                <c:pt idx="13">
                  <c:v>Palma</c:v>
                </c:pt>
                <c:pt idx="14">
                  <c:v>Pamplona</c:v>
                </c:pt>
                <c:pt idx="15">
                  <c:v>Salamanca</c:v>
                </c:pt>
                <c:pt idx="16">
                  <c:v>Santander</c:v>
                </c:pt>
                <c:pt idx="17">
                  <c:v>Sevilla</c:v>
                </c:pt>
                <c:pt idx="18">
                  <c:v>Toledo</c:v>
                </c:pt>
                <c:pt idx="19">
                  <c:v>Valencia</c:v>
                </c:pt>
                <c:pt idx="20">
                  <c:v>Valladolid</c:v>
                </c:pt>
                <c:pt idx="21">
                  <c:v>Vigo</c:v>
                </c:pt>
                <c:pt idx="22">
                  <c:v>Vitoria</c:v>
                </c:pt>
                <c:pt idx="23">
                  <c:v>Zaragoza</c:v>
                </c:pt>
              </c:strCache>
            </c:strRef>
          </c:cat>
          <c:val>
            <c:numRef>
              <c:f>Análisis!$M$6</c:f>
              <c:numCache>
                <c:formatCode>_("€"* #,##0.00_);_("€"* \(#,##0.00\);_("€"* "-"??_);_(@_)</c:formatCode>
                <c:ptCount val="24"/>
                <c:pt idx="0">
                  <c:v>46543.519999999997</c:v>
                </c:pt>
                <c:pt idx="1">
                  <c:v>71262.050000000032</c:v>
                </c:pt>
                <c:pt idx="2">
                  <c:v>113972.51</c:v>
                </c:pt>
                <c:pt idx="3">
                  <c:v>108364.97000000002</c:v>
                </c:pt>
                <c:pt idx="4">
                  <c:v>58124.350000000013</c:v>
                </c:pt>
                <c:pt idx="5">
                  <c:v>82086.559999999983</c:v>
                </c:pt>
                <c:pt idx="6">
                  <c:v>107569.51999999995</c:v>
                </c:pt>
                <c:pt idx="7">
                  <c:v>118748.47000000004</c:v>
                </c:pt>
                <c:pt idx="8">
                  <c:v>85239.069999999978</c:v>
                </c:pt>
                <c:pt idx="9">
                  <c:v>77175.5</c:v>
                </c:pt>
                <c:pt idx="10">
                  <c:v>73072.220000000016</c:v>
                </c:pt>
                <c:pt idx="11">
                  <c:v>64485.599999999991</c:v>
                </c:pt>
                <c:pt idx="12">
                  <c:v>141604.25</c:v>
                </c:pt>
                <c:pt idx="13">
                  <c:v>65070.93</c:v>
                </c:pt>
                <c:pt idx="14">
                  <c:v>75232.990000000034</c:v>
                </c:pt>
                <c:pt idx="15">
                  <c:v>73925.600000000006</c:v>
                </c:pt>
                <c:pt idx="16">
                  <c:v>76798.070000000022</c:v>
                </c:pt>
                <c:pt idx="17">
                  <c:v>47058.859999999993</c:v>
                </c:pt>
                <c:pt idx="18">
                  <c:v>76304.189999999988</c:v>
                </c:pt>
                <c:pt idx="19">
                  <c:v>108672.50000000001</c:v>
                </c:pt>
                <c:pt idx="20">
                  <c:v>36471.890000000007</c:v>
                </c:pt>
                <c:pt idx="21">
                  <c:v>71897.570000000022</c:v>
                </c:pt>
                <c:pt idx="22">
                  <c:v>109746.69999999997</c:v>
                </c:pt>
                <c:pt idx="23">
                  <c:v>103199.27000000002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B2-4E46-B464-2533F709F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7236016"/>
        <c:axId val="608514672"/>
      </c:barChart>
      <c:catAx>
        <c:axId val="1657236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shade val="15000"/>
                <a:alpha val="0"/>
              </a:schemeClr>
            </a:solidFill>
            <a:round/>
          </a:ln>
          <a:effectLst>
            <a:softEdge rad="9144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8514672"/>
        <c:crosses val="autoZero"/>
        <c:auto val="1"/>
        <c:lblAlgn val="ctr"/>
        <c:lblOffset val="100"/>
        <c:noMultiLvlLbl val="0"/>
      </c:catAx>
      <c:valAx>
        <c:axId val="608514672"/>
        <c:scaling>
          <c:orientation val="minMax"/>
        </c:scaling>
        <c:delete val="1"/>
        <c:axPos val="b"/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crossAx val="1657236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380998</xdr:colOff>
      <xdr:row>8</xdr:row>
      <xdr:rowOff>0</xdr:rowOff>
    </xdr:from>
    <xdr:to>
      <xdr:col>2</xdr:col>
      <xdr:colOff>582705</xdr:colOff>
      <xdr:row>15</xdr:row>
      <xdr:rowOff>93010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énero">
              <a:extLst>
                <a:ext uri="{FF2B5EF4-FFF2-40B4-BE49-F238E27FC236}">
                  <a16:creationId xmlns:a16="http://schemas.microsoft.com/office/drawing/2014/main" id="{955C4A71-8717-72DA-74B1-77202BDC57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12792" y="381000"/>
              <a:ext cx="1647266" cy="14265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41462</xdr:colOff>
      <xdr:row>8</xdr:row>
      <xdr:rowOff>30255</xdr:rowOff>
    </xdr:from>
    <xdr:to>
      <xdr:col>4</xdr:col>
      <xdr:colOff>717176</xdr:colOff>
      <xdr:row>15</xdr:row>
      <xdr:rowOff>88526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5" name="Fecha (EU)">
              <a:extLst>
                <a:ext uri="{FF2B5EF4-FFF2-40B4-BE49-F238E27FC236}">
                  <a16:creationId xmlns:a16="http://schemas.microsoft.com/office/drawing/2014/main" id="{3A0BA600-D4C9-5534-EDCC-D6461A4AD4F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(EU)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5638" y="1554255"/>
              <a:ext cx="1617009" cy="13917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1096495</xdr:colOff>
      <xdr:row>8</xdr:row>
      <xdr:rowOff>15688</xdr:rowOff>
    </xdr:from>
    <xdr:to>
      <xdr:col>6</xdr:col>
      <xdr:colOff>463924</xdr:colOff>
      <xdr:row>15</xdr:row>
      <xdr:rowOff>123265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Tallaje">
              <a:extLst>
                <a:ext uri="{FF2B5EF4-FFF2-40B4-BE49-F238E27FC236}">
                  <a16:creationId xmlns:a16="http://schemas.microsoft.com/office/drawing/2014/main" id="{2FCFB2D3-49FC-ED33-A648-DCF79DC7AD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12466" y="396688"/>
              <a:ext cx="1267946" cy="14410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840440</xdr:colOff>
      <xdr:row>49</xdr:row>
      <xdr:rowOff>56030</xdr:rowOff>
    </xdr:from>
    <xdr:to>
      <xdr:col>14</xdr:col>
      <xdr:colOff>864533</xdr:colOff>
      <xdr:row>60</xdr:row>
      <xdr:rowOff>27455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EF6738A0-8874-4971-9EDB-6C7791FE50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414616</xdr:colOff>
      <xdr:row>49</xdr:row>
      <xdr:rowOff>44824</xdr:rowOff>
    </xdr:from>
    <xdr:to>
      <xdr:col>10</xdr:col>
      <xdr:colOff>649941</xdr:colOff>
      <xdr:row>59</xdr:row>
      <xdr:rowOff>179293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B014B74-CF6F-4BAE-9F5E-8DD76C474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301012</xdr:colOff>
      <xdr:row>24</xdr:row>
      <xdr:rowOff>171432</xdr:rowOff>
    </xdr:from>
    <xdr:to>
      <xdr:col>17</xdr:col>
      <xdr:colOff>593911</xdr:colOff>
      <xdr:row>34</xdr:row>
      <xdr:rowOff>89648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9ACF8F4D-21A2-4AC3-B443-81D5E5C395B5}"/>
            </a:ext>
            <a:ext uri="{147F2762-F138-4A5C-976F-8EAC2B608ADB}">
              <a16:predDERef xmlns:a16="http://schemas.microsoft.com/office/drawing/2014/main" pred="{955C4A71-8717-72DA-74B1-77202BDC57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235323</xdr:colOff>
      <xdr:row>27</xdr:row>
      <xdr:rowOff>112059</xdr:rowOff>
    </xdr:from>
    <xdr:to>
      <xdr:col>4</xdr:col>
      <xdr:colOff>1058954</xdr:colOff>
      <xdr:row>53</xdr:row>
      <xdr:rowOff>35859</xdr:rowOff>
    </xdr:to>
    <xdr:graphicFrame macro="">
      <xdr:nvGraphicFramePr>
        <xdr:cNvPr id="2" name="BeneficiosProvincia">
          <a:extLst>
            <a:ext uri="{FF2B5EF4-FFF2-40B4-BE49-F238E27FC236}">
              <a16:creationId xmlns:a16="http://schemas.microsoft.com/office/drawing/2014/main" id="{7D357164-C8A1-4D4D-A7F1-726E6062C473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1</xdr:row>
      <xdr:rowOff>47626</xdr:rowOff>
    </xdr:from>
    <xdr:to>
      <xdr:col>3</xdr:col>
      <xdr:colOff>21001</xdr:colOff>
      <xdr:row>11</xdr:row>
      <xdr:rowOff>149679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C7031359-FBF4-BDB3-505C-658EEC57F8EF}"/>
            </a:ext>
          </a:extLst>
        </xdr:cNvPr>
        <xdr:cNvSpPr/>
      </xdr:nvSpPr>
      <xdr:spPr>
        <a:xfrm>
          <a:off x="238126" y="238126"/>
          <a:ext cx="1926000" cy="200705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190500</xdr:colOff>
      <xdr:row>0</xdr:row>
      <xdr:rowOff>0</xdr:rowOff>
    </xdr:from>
    <xdr:to>
      <xdr:col>3</xdr:col>
      <xdr:colOff>0</xdr:colOff>
      <xdr:row>8</xdr:row>
      <xdr:rowOff>171450</xdr:rowOff>
    </xdr:to>
    <xdr:sp macro="" textlink="Análisis!H6">
      <xdr:nvSpPr>
        <xdr:cNvPr id="5" name="CuadroTexto 4">
          <a:extLst>
            <a:ext uri="{FF2B5EF4-FFF2-40B4-BE49-F238E27FC236}">
              <a16:creationId xmlns:a16="http://schemas.microsoft.com/office/drawing/2014/main" id="{2CE11DE2-6C5C-7DE8-48E8-49770EE6C6AB}"/>
            </a:ext>
          </a:extLst>
        </xdr:cNvPr>
        <xdr:cNvSpPr txBox="1"/>
      </xdr:nvSpPr>
      <xdr:spPr>
        <a:xfrm>
          <a:off x="190500" y="0"/>
          <a:ext cx="1961029" cy="1695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7FD409-13C9-4884-873C-52B1205FCAE1}" type="TxLink">
            <a:rPr lang="en-US" sz="24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Análisis de Beneficios de</a:t>
          </a:fld>
          <a:endParaRPr lang="es-ES" sz="24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 editAs="oneCell">
    <xdr:from>
      <xdr:col>0</xdr:col>
      <xdr:colOff>390525</xdr:colOff>
      <xdr:row>6</xdr:row>
      <xdr:rowOff>76200</xdr:rowOff>
    </xdr:from>
    <xdr:to>
      <xdr:col>2</xdr:col>
      <xdr:colOff>680357</xdr:colOff>
      <xdr:row>10</xdr:row>
      <xdr:rowOff>171450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7F24B1C-5B42-389A-14A9-CD5F2469F7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0525" y="1219200"/>
          <a:ext cx="1725909" cy="857250"/>
        </a:xfrm>
        <a:prstGeom prst="rect">
          <a:avLst/>
        </a:prstGeom>
      </xdr:spPr>
    </xdr:pic>
    <xdr:clientData/>
  </xdr:twoCellAnchor>
  <xdr:twoCellAnchor>
    <xdr:from>
      <xdr:col>3</xdr:col>
      <xdr:colOff>225923</xdr:colOff>
      <xdr:row>28</xdr:row>
      <xdr:rowOff>72504</xdr:rowOff>
    </xdr:from>
    <xdr:to>
      <xdr:col>14</xdr:col>
      <xdr:colOff>496408</xdr:colOff>
      <xdr:row>37</xdr:row>
      <xdr:rowOff>163286</xdr:rowOff>
    </xdr:to>
    <xdr:graphicFrame macro="">
      <xdr:nvGraphicFramePr>
        <xdr:cNvPr id="2" name="Gráfico 8">
          <a:extLst>
            <a:ext uri="{FF2B5EF4-FFF2-40B4-BE49-F238E27FC236}">
              <a16:creationId xmlns:a16="http://schemas.microsoft.com/office/drawing/2014/main" id="{BF1F3928-0E27-4337-BF02-B75EA7AB8017}"/>
            </a:ext>
            <a:ext uri="{147F2762-F138-4A5C-976F-8EAC2B608ADB}">
              <a16:predDERef xmlns:a16="http://schemas.microsoft.com/office/drawing/2014/main" pred="{F7F24B1C-5B42-389A-14A9-CD5F2469F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235323</xdr:colOff>
      <xdr:row>14</xdr:row>
      <xdr:rowOff>0</xdr:rowOff>
    </xdr:from>
    <xdr:to>
      <xdr:col>8</xdr:col>
      <xdr:colOff>537881</xdr:colOff>
      <xdr:row>24</xdr:row>
      <xdr:rowOff>161925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66B91B2-3C94-44F9-BF98-195E584B2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204723</xdr:colOff>
      <xdr:row>14</xdr:row>
      <xdr:rowOff>11206</xdr:rowOff>
    </xdr:from>
    <xdr:to>
      <xdr:col>14</xdr:col>
      <xdr:colOff>494783</xdr:colOff>
      <xdr:row>24</xdr:row>
      <xdr:rowOff>157313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E780418-4120-4982-9CD0-DB947BC6561C}"/>
            </a:ext>
            <a:ext uri="{147F2762-F138-4A5C-976F-8EAC2B608ADB}">
              <a16:predDERef xmlns:a16="http://schemas.microsoft.com/office/drawing/2014/main" pred="{A66B91B2-3C94-44F9-BF98-195E584B24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216776</xdr:colOff>
      <xdr:row>26</xdr:row>
      <xdr:rowOff>0</xdr:rowOff>
    </xdr:from>
    <xdr:to>
      <xdr:col>14</xdr:col>
      <xdr:colOff>518949</xdr:colOff>
      <xdr:row>27</xdr:row>
      <xdr:rowOff>151086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4556C4C1-8532-2B46-CD7D-E450F022AED8}"/>
            </a:ext>
          </a:extLst>
        </xdr:cNvPr>
        <xdr:cNvSpPr/>
      </xdr:nvSpPr>
      <xdr:spPr>
        <a:xfrm>
          <a:off x="2364828" y="4953000"/>
          <a:ext cx="8178362" cy="341586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BeBe</a:t>
          </a:r>
        </a:p>
      </xdr:txBody>
    </xdr:sp>
    <xdr:clientData/>
  </xdr:twoCellAnchor>
  <xdr:twoCellAnchor>
    <xdr:from>
      <xdr:col>3</xdr:col>
      <xdr:colOff>224660</xdr:colOff>
      <xdr:row>12</xdr:row>
      <xdr:rowOff>40728</xdr:rowOff>
    </xdr:from>
    <xdr:to>
      <xdr:col>8</xdr:col>
      <xdr:colOff>538656</xdr:colOff>
      <xdr:row>13</xdr:row>
      <xdr:rowOff>139262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5B868E97-5D25-475B-BAAF-2C9206A270A2}"/>
            </a:ext>
          </a:extLst>
        </xdr:cNvPr>
        <xdr:cNvSpPr/>
      </xdr:nvSpPr>
      <xdr:spPr>
        <a:xfrm>
          <a:off x="2372712" y="2326728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186561</xdr:colOff>
      <xdr:row>12</xdr:row>
      <xdr:rowOff>48611</xdr:rowOff>
    </xdr:from>
    <xdr:to>
      <xdr:col>14</xdr:col>
      <xdr:colOff>500557</xdr:colOff>
      <xdr:row>13</xdr:row>
      <xdr:rowOff>147145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C424198F-A461-4ED0-BEE0-723F5B8B0597}"/>
            </a:ext>
          </a:extLst>
        </xdr:cNvPr>
        <xdr:cNvSpPr/>
      </xdr:nvSpPr>
      <xdr:spPr>
        <a:xfrm>
          <a:off x="6630716" y="2334611"/>
          <a:ext cx="3894082" cy="289034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229993</xdr:colOff>
      <xdr:row>3</xdr:row>
      <xdr:rowOff>60561</xdr:rowOff>
    </xdr:from>
    <xdr:to>
      <xdr:col>14</xdr:col>
      <xdr:colOff>63812</xdr:colOff>
      <xdr:row>10</xdr:row>
      <xdr:rowOff>146464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D29168DE-6F7A-4ACC-9B51-4F7494906A1C}"/>
            </a:ext>
          </a:extLst>
        </xdr:cNvPr>
        <xdr:cNvSpPr/>
      </xdr:nvSpPr>
      <xdr:spPr>
        <a:xfrm>
          <a:off x="8065341" y="632061"/>
          <a:ext cx="1970732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665044</xdr:colOff>
      <xdr:row>3</xdr:row>
      <xdr:rowOff>66595</xdr:rowOff>
    </xdr:from>
    <xdr:to>
      <xdr:col>17</xdr:col>
      <xdr:colOff>497799</xdr:colOff>
      <xdr:row>10</xdr:row>
      <xdr:rowOff>152498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A7ABC583-55CA-45F7-A850-A99C419123E1}"/>
            </a:ext>
          </a:extLst>
        </xdr:cNvPr>
        <xdr:cNvSpPr/>
      </xdr:nvSpPr>
      <xdr:spPr>
        <a:xfrm>
          <a:off x="10705515" y="638095"/>
          <a:ext cx="1984284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323022</xdr:colOff>
      <xdr:row>26</xdr:row>
      <xdr:rowOff>1</xdr:rowOff>
    </xdr:from>
    <xdr:to>
      <xdr:col>14</xdr:col>
      <xdr:colOff>480391</xdr:colOff>
      <xdr:row>28</xdr:row>
      <xdr:rowOff>1</xdr:rowOff>
    </xdr:to>
    <xdr:sp macro="" textlink="Análisis!K6">
      <xdr:nvSpPr>
        <xdr:cNvPr id="22" name="CuadroTexto 21">
          <a:extLst>
            <a:ext uri="{FF2B5EF4-FFF2-40B4-BE49-F238E27FC236}">
              <a16:creationId xmlns:a16="http://schemas.microsoft.com/office/drawing/2014/main" id="{063FFFCB-3D6C-A8C5-2B4F-6795E6BDA627}"/>
            </a:ext>
          </a:extLst>
        </xdr:cNvPr>
        <xdr:cNvSpPr txBox="1"/>
      </xdr:nvSpPr>
      <xdr:spPr>
        <a:xfrm>
          <a:off x="2474551" y="4953001"/>
          <a:ext cx="8046311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65DAED4F-B100-4D1F-A09D-6C35B011113C}" type="TxLink">
            <a:rPr lang="en-US" sz="1600" b="1" i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B0502040204020203" pitchFamily="18" charset="-34"/>
            </a:rPr>
            <a:pPr marL="0" indent="0" algn="ctr"/>
            <a:t>Beneficios Trimestrales últimos tres años</a:t>
          </a:fld>
          <a:endParaRPr lang="es-ES" sz="1600" b="1" i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2</xdr:col>
      <xdr:colOff>127551</xdr:colOff>
      <xdr:row>12</xdr:row>
      <xdr:rowOff>0</xdr:rowOff>
    </xdr:from>
    <xdr:to>
      <xdr:col>9</xdr:col>
      <xdr:colOff>712303</xdr:colOff>
      <xdr:row>13</xdr:row>
      <xdr:rowOff>157371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3FB4DBBC-7F68-4A10-BD31-333F3426E626}"/>
            </a:ext>
          </a:extLst>
        </xdr:cNvPr>
        <xdr:cNvSpPr txBox="1"/>
      </xdr:nvSpPr>
      <xdr:spPr>
        <a:xfrm>
          <a:off x="1556301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Tipos</a:t>
          </a:r>
          <a:r>
            <a:rPr lang="es-ES" sz="1600" b="1" i="1" baseline="0">
              <a:latin typeface="Amasis MT Pro Light" panose="02040304050005020304" pitchFamily="18" charset="0"/>
              <a:cs typeface="Angsana New" panose="020B0502040204020203" pitchFamily="18" charset="-34"/>
            </a:rPr>
            <a:t> de Estado</a:t>
          </a:r>
          <a:endParaRPr lang="es-ES" sz="1600" b="1" i="1">
            <a:latin typeface="Amasis MT Pro Light" panose="02040304050005020304" pitchFamily="18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8</xdr:col>
      <xdr:colOff>14910</xdr:colOff>
      <xdr:row>12</xdr:row>
      <xdr:rowOff>0</xdr:rowOff>
    </xdr:from>
    <xdr:to>
      <xdr:col>15</xdr:col>
      <xdr:colOff>599662</xdr:colOff>
      <xdr:row>13</xdr:row>
      <xdr:rowOff>157371</xdr:rowOff>
    </xdr:to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A039A4BE-F2F4-491A-8791-E7E5742487A7}"/>
            </a:ext>
          </a:extLst>
        </xdr:cNvPr>
        <xdr:cNvSpPr txBox="1"/>
      </xdr:nvSpPr>
      <xdr:spPr>
        <a:xfrm>
          <a:off x="5729910" y="2286000"/>
          <a:ext cx="5585377" cy="3478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ES" sz="1600" b="1" i="1">
              <a:latin typeface="Amasis MT Pro Light" panose="02040304050005020304" pitchFamily="18" charset="0"/>
              <a:cs typeface="Angsana New" panose="020B0502040204020203" pitchFamily="18" charset="-34"/>
            </a:rPr>
            <a:t>Porcentajes de Tipos</a:t>
          </a:r>
          <a:r>
            <a:rPr lang="es-ES" sz="1600" b="1" i="1" baseline="0">
              <a:latin typeface="Amasis MT Pro Light" panose="02040304050005020304" pitchFamily="18" charset="0"/>
              <a:cs typeface="Angsana New" panose="020B0502040204020203" pitchFamily="18" charset="-34"/>
            </a:rPr>
            <a:t> de Estado</a:t>
          </a:r>
          <a:endParaRPr lang="es-ES" sz="1600" b="1" i="1">
            <a:latin typeface="Amasis MT Pro Light" panose="02040304050005020304" pitchFamily="18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15</xdr:col>
      <xdr:colOff>0</xdr:colOff>
      <xdr:row>12</xdr:row>
      <xdr:rowOff>57150</xdr:rowOff>
    </xdr:from>
    <xdr:to>
      <xdr:col>17</xdr:col>
      <xdr:colOff>521073</xdr:colOff>
      <xdr:row>37</xdr:row>
      <xdr:rowOff>171450</xdr:rowOff>
    </xdr:to>
    <xdr:graphicFrame macro="">
      <xdr:nvGraphicFramePr>
        <xdr:cNvPr id="26" name="BeneficiosProvincia">
          <a:extLst>
            <a:ext uri="{FF2B5EF4-FFF2-40B4-BE49-F238E27FC236}">
              <a16:creationId xmlns:a16="http://schemas.microsoft.com/office/drawing/2014/main" id="{5CFFF120-1A40-4C42-95A8-A65700433577}"/>
            </a:ext>
            <a:ext uri="{147F2762-F138-4A5C-976F-8EAC2B608ADB}">
              <a16:predDERef xmlns:a16="http://schemas.microsoft.com/office/drawing/2014/main" pred="{A039A4BE-F2F4-491A-8791-E7E574248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607443</xdr:colOff>
      <xdr:row>3</xdr:row>
      <xdr:rowOff>63165</xdr:rowOff>
    </xdr:from>
    <xdr:to>
      <xdr:col>6</xdr:col>
      <xdr:colOff>437109</xdr:colOff>
      <xdr:row>10</xdr:row>
      <xdr:rowOff>149068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AD10AAE9-6501-4F6D-A233-7C53A7ECF83F}"/>
            </a:ext>
          </a:extLst>
        </xdr:cNvPr>
        <xdr:cNvSpPr/>
      </xdr:nvSpPr>
      <xdr:spPr>
        <a:xfrm>
          <a:off x="2744356" y="634665"/>
          <a:ext cx="1966579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471698</xdr:colOff>
      <xdr:row>3</xdr:row>
      <xdr:rowOff>61156</xdr:rowOff>
    </xdr:from>
    <xdr:to>
      <xdr:col>10</xdr:col>
      <xdr:colOff>304136</xdr:colOff>
      <xdr:row>10</xdr:row>
      <xdr:rowOff>147059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733BCD17-D705-4FD9-8C5A-2D06DF5C3880}"/>
            </a:ext>
          </a:extLst>
        </xdr:cNvPr>
        <xdr:cNvSpPr/>
      </xdr:nvSpPr>
      <xdr:spPr>
        <a:xfrm>
          <a:off x="5457828" y="632656"/>
          <a:ext cx="1969351" cy="1419403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624466</xdr:colOff>
      <xdr:row>3</xdr:row>
      <xdr:rowOff>105703</xdr:rowOff>
    </xdr:from>
    <xdr:to>
      <xdr:col>6</xdr:col>
      <xdr:colOff>421439</xdr:colOff>
      <xdr:row>5</xdr:row>
      <xdr:rowOff>27749</xdr:rowOff>
    </xdr:to>
    <xdr:sp macro="" textlink="Análisis!I6">
      <xdr:nvSpPr>
        <xdr:cNvPr id="29" name="CuadroTexto 28">
          <a:extLst>
            <a:ext uri="{FF2B5EF4-FFF2-40B4-BE49-F238E27FC236}">
              <a16:creationId xmlns:a16="http://schemas.microsoft.com/office/drawing/2014/main" id="{EC71C788-277D-4366-69E0-C567E5D0E692}"/>
            </a:ext>
          </a:extLst>
        </xdr:cNvPr>
        <xdr:cNvSpPr txBox="1"/>
      </xdr:nvSpPr>
      <xdr:spPr>
        <a:xfrm>
          <a:off x="2761379" y="677203"/>
          <a:ext cx="1933886" cy="303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2D0D22F-64FA-475F-9E83-AD9F2BA33117}" type="TxLink">
            <a:rPr lang="en-U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pPr marL="0" indent="0" algn="ctr"/>
            <a:t>Beneficios totales</a:t>
          </a:fld>
          <a:endParaRPr lang="es-ES" sz="14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7</xdr:col>
      <xdr:colOff>238541</xdr:colOff>
      <xdr:row>3</xdr:row>
      <xdr:rowOff>122008</xdr:rowOff>
    </xdr:from>
    <xdr:to>
      <xdr:col>10</xdr:col>
      <xdr:colOff>517410</xdr:colOff>
      <xdr:row>5</xdr:row>
      <xdr:rowOff>40467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3106A7D9-C6D1-4325-B6BD-8C34E29DDA7E}"/>
            </a:ext>
          </a:extLst>
        </xdr:cNvPr>
        <xdr:cNvSpPr txBox="1"/>
      </xdr:nvSpPr>
      <xdr:spPr>
        <a:xfrm>
          <a:off x="5224671" y="693508"/>
          <a:ext cx="2415782" cy="2994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Porcentaje Entregados</a:t>
          </a:r>
        </a:p>
      </xdr:txBody>
    </xdr:sp>
    <xdr:clientData/>
  </xdr:twoCellAnchor>
  <xdr:twoCellAnchor>
    <xdr:from>
      <xdr:col>10</xdr:col>
      <xdr:colOff>666750</xdr:colOff>
      <xdr:row>3</xdr:row>
      <xdr:rowOff>160776</xdr:rowOff>
    </xdr:from>
    <xdr:to>
      <xdr:col>14</xdr:col>
      <xdr:colOff>359414</xdr:colOff>
      <xdr:row>4</xdr:row>
      <xdr:rowOff>161925</xdr:rowOff>
    </xdr:to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C9D1B5F3-DDAA-47B0-B684-2DEBAD19F9A2}"/>
            </a:ext>
          </a:extLst>
        </xdr:cNvPr>
        <xdr:cNvSpPr txBox="1"/>
      </xdr:nvSpPr>
      <xdr:spPr>
        <a:xfrm>
          <a:off x="7810500" y="732276"/>
          <a:ext cx="2550164" cy="191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2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Porcentaje Cambio</a:t>
          </a:r>
          <a:r>
            <a:rPr lang="es-ES" sz="1200" b="1" baseline="0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 Solicitado</a:t>
          </a:r>
          <a:endParaRPr lang="es-ES" sz="1200" b="1">
            <a:solidFill>
              <a:schemeClr val="dk1"/>
            </a:solidFill>
            <a:latin typeface="Amasis MT Pro Light" panose="02040304050005020304" pitchFamily="18" charset="0"/>
            <a:ea typeface="+mn-ea"/>
            <a:cs typeface="Angsana New" panose="02020603050405020304" pitchFamily="18" charset="-34"/>
          </a:endParaRPr>
        </a:p>
      </xdr:txBody>
    </xdr:sp>
    <xdr:clientData/>
  </xdr:twoCellAnchor>
  <xdr:twoCellAnchor>
    <xdr:from>
      <xdr:col>14</xdr:col>
      <xdr:colOff>456776</xdr:colOff>
      <xdr:row>3</xdr:row>
      <xdr:rowOff>115228</xdr:rowOff>
    </xdr:from>
    <xdr:to>
      <xdr:col>18</xdr:col>
      <xdr:colOff>33614</xdr:colOff>
      <xdr:row>5</xdr:row>
      <xdr:rowOff>6191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E785A407-B8CC-40BA-A8D4-A0615E645B53}"/>
            </a:ext>
          </a:extLst>
        </xdr:cNvPr>
        <xdr:cNvSpPr txBox="1"/>
      </xdr:nvSpPr>
      <xdr:spPr>
        <a:xfrm>
          <a:off x="10497247" y="686728"/>
          <a:ext cx="2445543" cy="2719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s-ES" sz="1400" b="1">
              <a:solidFill>
                <a:schemeClr val="dk1"/>
              </a:solidFill>
              <a:latin typeface="Amasis MT Pro Light" panose="02040304050005020304" pitchFamily="18" charset="0"/>
              <a:ea typeface="+mn-ea"/>
              <a:cs typeface="Angsana New" panose="02020603050405020304" pitchFamily="18" charset="-34"/>
            </a:rPr>
            <a:t>Porcentaje Devueltos</a:t>
          </a:r>
        </a:p>
      </xdr:txBody>
    </xdr:sp>
    <xdr:clientData/>
  </xdr:twoCellAnchor>
  <xdr:twoCellAnchor>
    <xdr:from>
      <xdr:col>3</xdr:col>
      <xdr:colOff>609242</xdr:colOff>
      <xdr:row>5</xdr:row>
      <xdr:rowOff>89136</xdr:rowOff>
    </xdr:from>
    <xdr:to>
      <xdr:col>6</xdr:col>
      <xdr:colOff>448978</xdr:colOff>
      <xdr:row>5</xdr:row>
      <xdr:rowOff>89136</xdr:rowOff>
    </xdr:to>
    <xdr:cxnSp macro="">
      <xdr:nvCxnSpPr>
        <xdr:cNvPr id="34" name="Conector recto 33">
          <a:extLst>
            <a:ext uri="{FF2B5EF4-FFF2-40B4-BE49-F238E27FC236}">
              <a16:creationId xmlns:a16="http://schemas.microsoft.com/office/drawing/2014/main" id="{4DA2FE59-84F0-1AC9-5C62-6CDA35D4395F}"/>
            </a:ext>
          </a:extLst>
        </xdr:cNvPr>
        <xdr:cNvCxnSpPr/>
      </xdr:nvCxnSpPr>
      <xdr:spPr>
        <a:xfrm>
          <a:off x="2746155" y="1041636"/>
          <a:ext cx="1976649" cy="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458048</xdr:colOff>
      <xdr:row>5</xdr:row>
      <xdr:rowOff>68520</xdr:rowOff>
    </xdr:from>
    <xdr:to>
      <xdr:col>10</xdr:col>
      <xdr:colOff>350831</xdr:colOff>
      <xdr:row>5</xdr:row>
      <xdr:rowOff>77159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523042DD-7896-44CD-BA2B-E8D5B2F5CA7A}"/>
            </a:ext>
          </a:extLst>
        </xdr:cNvPr>
        <xdr:cNvCxnSpPr/>
      </xdr:nvCxnSpPr>
      <xdr:spPr>
        <a:xfrm flipV="1">
          <a:off x="5444178" y="1021020"/>
          <a:ext cx="2029696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3708</xdr:colOff>
      <xdr:row>5</xdr:row>
      <xdr:rowOff>70526</xdr:rowOff>
    </xdr:from>
    <xdr:to>
      <xdr:col>14</xdr:col>
      <xdr:colOff>115375</xdr:colOff>
      <xdr:row>5</xdr:row>
      <xdr:rowOff>81116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BE1A6A37-B9F1-4CB3-9C61-C62BFD23CFED}"/>
            </a:ext>
          </a:extLst>
        </xdr:cNvPr>
        <xdr:cNvCxnSpPr/>
      </xdr:nvCxnSpPr>
      <xdr:spPr>
        <a:xfrm flipV="1">
          <a:off x="7839056" y="1023026"/>
          <a:ext cx="2248580" cy="1059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628434</xdr:colOff>
      <xdr:row>5</xdr:row>
      <xdr:rowOff>67518</xdr:rowOff>
    </xdr:from>
    <xdr:to>
      <xdr:col>17</xdr:col>
      <xdr:colOff>520308</xdr:colOff>
      <xdr:row>5</xdr:row>
      <xdr:rowOff>76157</xdr:rowOff>
    </xdr:to>
    <xdr:cxnSp macro="">
      <xdr:nvCxnSpPr>
        <xdr:cNvPr id="44" name="Conector recto 43">
          <a:extLst>
            <a:ext uri="{FF2B5EF4-FFF2-40B4-BE49-F238E27FC236}">
              <a16:creationId xmlns:a16="http://schemas.microsoft.com/office/drawing/2014/main" id="{25BD4FEA-CB1F-4059-A42E-761E01A26BED}"/>
            </a:ext>
          </a:extLst>
        </xdr:cNvPr>
        <xdr:cNvCxnSpPr/>
      </xdr:nvCxnSpPr>
      <xdr:spPr>
        <a:xfrm flipV="1">
          <a:off x="10668905" y="1020018"/>
          <a:ext cx="2043403" cy="8639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7341</xdr:colOff>
      <xdr:row>3</xdr:row>
      <xdr:rowOff>112059</xdr:rowOff>
    </xdr:from>
    <xdr:to>
      <xdr:col>7</xdr:col>
      <xdr:colOff>11206</xdr:colOff>
      <xdr:row>10</xdr:row>
      <xdr:rowOff>78441</xdr:rowOff>
    </xdr:to>
    <xdr:sp macro="" textlink="Análisis!#REF!">
      <xdr:nvSpPr>
        <xdr:cNvPr id="45" name="Rectángulo 44">
          <a:extLst>
            <a:ext uri="{FF2B5EF4-FFF2-40B4-BE49-F238E27FC236}">
              <a16:creationId xmlns:a16="http://schemas.microsoft.com/office/drawing/2014/main" id="{7E1F1E0B-20E6-D052-3CC8-D51C48BADF8A}"/>
            </a:ext>
          </a:extLst>
        </xdr:cNvPr>
        <xdr:cNvSpPr/>
      </xdr:nvSpPr>
      <xdr:spPr>
        <a:xfrm>
          <a:off x="2876047" y="683559"/>
          <a:ext cx="2155394" cy="1299882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44DFE4DA-FF55-4988-8375-F0A44E21991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392206</xdr:colOff>
      <xdr:row>3</xdr:row>
      <xdr:rowOff>67235</xdr:rowOff>
    </xdr:from>
    <xdr:to>
      <xdr:col>10</xdr:col>
      <xdr:colOff>392207</xdr:colOff>
      <xdr:row>10</xdr:row>
      <xdr:rowOff>67235</xdr:rowOff>
    </xdr:to>
    <xdr:sp macro="" textlink="Análisis!#REF!">
      <xdr:nvSpPr>
        <xdr:cNvPr id="50" name="Rectángulo 49">
          <a:extLst>
            <a:ext uri="{FF2B5EF4-FFF2-40B4-BE49-F238E27FC236}">
              <a16:creationId xmlns:a16="http://schemas.microsoft.com/office/drawing/2014/main" id="{9E9F9823-9AD1-4903-9A74-0A31DABA887A}"/>
            </a:ext>
          </a:extLst>
        </xdr:cNvPr>
        <xdr:cNvSpPr/>
      </xdr:nvSpPr>
      <xdr:spPr>
        <a:xfrm>
          <a:off x="5412441" y="638735"/>
          <a:ext cx="2151531" cy="1333500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65CDBF92-2B0A-4F7F-8698-884C3F8A5BE6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89648</xdr:colOff>
      <xdr:row>3</xdr:row>
      <xdr:rowOff>78441</xdr:rowOff>
    </xdr:from>
    <xdr:to>
      <xdr:col>14</xdr:col>
      <xdr:colOff>112058</xdr:colOff>
      <xdr:row>10</xdr:row>
      <xdr:rowOff>89647</xdr:rowOff>
    </xdr:to>
    <xdr:sp macro="" textlink="Análisis!#REF!">
      <xdr:nvSpPr>
        <xdr:cNvPr id="51" name="Rectángulo 50">
          <a:extLst>
            <a:ext uri="{FF2B5EF4-FFF2-40B4-BE49-F238E27FC236}">
              <a16:creationId xmlns:a16="http://schemas.microsoft.com/office/drawing/2014/main" id="{E1CAE81E-69DB-4839-8948-216728B5CE40}"/>
            </a:ext>
          </a:extLst>
        </xdr:cNvPr>
        <xdr:cNvSpPr/>
      </xdr:nvSpPr>
      <xdr:spPr>
        <a:xfrm>
          <a:off x="7978589" y="649941"/>
          <a:ext cx="2173940" cy="1344706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D37FD5A-4DF2-40ED-BDE4-37757CB4F68E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459441</xdr:colOff>
      <xdr:row>3</xdr:row>
      <xdr:rowOff>89647</xdr:rowOff>
    </xdr:from>
    <xdr:to>
      <xdr:col>17</xdr:col>
      <xdr:colOff>504265</xdr:colOff>
      <xdr:row>10</xdr:row>
      <xdr:rowOff>78441</xdr:rowOff>
    </xdr:to>
    <xdr:sp macro="" textlink="Análisis!#REF!">
      <xdr:nvSpPr>
        <xdr:cNvPr id="52" name="Rectángulo 51">
          <a:extLst>
            <a:ext uri="{FF2B5EF4-FFF2-40B4-BE49-F238E27FC236}">
              <a16:creationId xmlns:a16="http://schemas.microsoft.com/office/drawing/2014/main" id="{86747F01-F357-4F2F-91F5-131314347C29}"/>
            </a:ext>
          </a:extLst>
        </xdr:cNvPr>
        <xdr:cNvSpPr/>
      </xdr:nvSpPr>
      <xdr:spPr>
        <a:xfrm>
          <a:off x="10499912" y="661147"/>
          <a:ext cx="2196353" cy="1322294"/>
        </a:xfrm>
        <a:prstGeom prst="rect">
          <a:avLst/>
        </a:prstGeom>
        <a:noFill/>
        <a:ln>
          <a:noFill/>
        </a:ln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54D272C6-5E08-42A4-A68C-C38727E29BD3}" type="TxLink">
            <a:rPr lang="en-US" sz="2800" b="1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 </a:t>
          </a:fld>
          <a:endParaRPr lang="es-ES" sz="2800" b="1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217125</xdr:colOff>
      <xdr:row>12</xdr:row>
      <xdr:rowOff>54668</xdr:rowOff>
    </xdr:from>
    <xdr:to>
      <xdr:col>3</xdr:col>
      <xdr:colOff>0</xdr:colOff>
      <xdr:row>19</xdr:row>
      <xdr:rowOff>161925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1" name="Género 1">
              <a:extLst>
                <a:ext uri="{FF2B5EF4-FFF2-40B4-BE49-F238E27FC236}">
                  <a16:creationId xmlns:a16="http://schemas.microsoft.com/office/drawing/2014/main" id="{2DC77692-81FF-4E36-A48D-FC18507A321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éner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2340668"/>
              <a:ext cx="1934404" cy="14407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217125</xdr:colOff>
      <xdr:row>29</xdr:row>
      <xdr:rowOff>95251</xdr:rowOff>
    </xdr:from>
    <xdr:to>
      <xdr:col>3</xdr:col>
      <xdr:colOff>0</xdr:colOff>
      <xdr:row>38</xdr:row>
      <xdr:rowOff>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2" name="Fecha (EU) 1">
              <a:extLst>
                <a:ext uri="{FF2B5EF4-FFF2-40B4-BE49-F238E27FC236}">
                  <a16:creationId xmlns:a16="http://schemas.microsoft.com/office/drawing/2014/main" id="{D264805A-A4D0-414B-AC40-2170316641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(EU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5619751"/>
              <a:ext cx="1934404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217125</xdr:colOff>
      <xdr:row>20</xdr:row>
      <xdr:rowOff>40822</xdr:rowOff>
    </xdr:from>
    <xdr:to>
      <xdr:col>3</xdr:col>
      <xdr:colOff>0</xdr:colOff>
      <xdr:row>29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3" name="Tallaje 1">
              <a:extLst>
                <a:ext uri="{FF2B5EF4-FFF2-40B4-BE49-F238E27FC236}">
                  <a16:creationId xmlns:a16="http://schemas.microsoft.com/office/drawing/2014/main" id="{927624AE-9D7F-4CC5-9532-8C83098421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allaj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7125" y="3850822"/>
              <a:ext cx="1934404" cy="1673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607064</xdr:colOff>
      <xdr:row>6</xdr:row>
      <xdr:rowOff>18512</xdr:rowOff>
    </xdr:from>
    <xdr:to>
      <xdr:col>6</xdr:col>
      <xdr:colOff>438002</xdr:colOff>
      <xdr:row>9</xdr:row>
      <xdr:rowOff>160060</xdr:rowOff>
    </xdr:to>
    <xdr:sp macro="" textlink="Análisis!K4">
      <xdr:nvSpPr>
        <xdr:cNvPr id="4" name="CuadroTexto 3">
          <a:extLst>
            <a:ext uri="{FF2B5EF4-FFF2-40B4-BE49-F238E27FC236}">
              <a16:creationId xmlns:a16="http://schemas.microsoft.com/office/drawing/2014/main" id="{33B23DF7-EFCE-8C92-D8C4-5085601BCF94}"/>
            </a:ext>
          </a:extLst>
        </xdr:cNvPr>
        <xdr:cNvSpPr txBox="1"/>
      </xdr:nvSpPr>
      <xdr:spPr>
        <a:xfrm>
          <a:off x="2743977" y="1161512"/>
          <a:ext cx="1967851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E346DB-29F7-41A4-A92C-52642300A04D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 1.668.719 € 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486820</xdr:colOff>
      <xdr:row>6</xdr:row>
      <xdr:rowOff>9022</xdr:rowOff>
    </xdr:from>
    <xdr:to>
      <xdr:col>10</xdr:col>
      <xdr:colOff>284042</xdr:colOff>
      <xdr:row>9</xdr:row>
      <xdr:rowOff>150570</xdr:rowOff>
    </xdr:to>
    <xdr:sp macro="" textlink="Análisis!L4">
      <xdr:nvSpPr>
        <xdr:cNvPr id="7" name="CuadroTexto 6">
          <a:extLst>
            <a:ext uri="{FF2B5EF4-FFF2-40B4-BE49-F238E27FC236}">
              <a16:creationId xmlns:a16="http://schemas.microsoft.com/office/drawing/2014/main" id="{7E852DEA-9016-473E-B53E-C1062697F92B}"/>
            </a:ext>
          </a:extLst>
        </xdr:cNvPr>
        <xdr:cNvSpPr txBox="1"/>
      </xdr:nvSpPr>
      <xdr:spPr>
        <a:xfrm>
          <a:off x="5472950" y="1152022"/>
          <a:ext cx="1934135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9CA766A-281D-4F7B-8052-3D9C756BF5BA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83,74%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226064</xdr:colOff>
      <xdr:row>6</xdr:row>
      <xdr:rowOff>26952</xdr:rowOff>
    </xdr:from>
    <xdr:to>
      <xdr:col>14</xdr:col>
      <xdr:colOff>72203</xdr:colOff>
      <xdr:row>9</xdr:row>
      <xdr:rowOff>168500</xdr:rowOff>
    </xdr:to>
    <xdr:sp macro="" textlink="Análisis!K5">
      <xdr:nvSpPr>
        <xdr:cNvPr id="8" name="CuadroTexto 7">
          <a:extLst>
            <a:ext uri="{FF2B5EF4-FFF2-40B4-BE49-F238E27FC236}">
              <a16:creationId xmlns:a16="http://schemas.microsoft.com/office/drawing/2014/main" id="{5B463EDB-665B-465F-9C48-BACAE6394F87}"/>
            </a:ext>
          </a:extLst>
        </xdr:cNvPr>
        <xdr:cNvSpPr txBox="1"/>
      </xdr:nvSpPr>
      <xdr:spPr>
        <a:xfrm>
          <a:off x="8061412" y="1169952"/>
          <a:ext cx="1983052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293A96D-DC26-46E5-BCF9-2129DB6AA82F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10,74%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661536</xdr:colOff>
      <xdr:row>6</xdr:row>
      <xdr:rowOff>58</xdr:rowOff>
    </xdr:from>
    <xdr:to>
      <xdr:col>17</xdr:col>
      <xdr:colOff>507675</xdr:colOff>
      <xdr:row>9</xdr:row>
      <xdr:rowOff>141606</xdr:rowOff>
    </xdr:to>
    <xdr:sp macro="" textlink="Análisis!L5">
      <xdr:nvSpPr>
        <xdr:cNvPr id="9" name="CuadroTexto 8">
          <a:extLst>
            <a:ext uri="{FF2B5EF4-FFF2-40B4-BE49-F238E27FC236}">
              <a16:creationId xmlns:a16="http://schemas.microsoft.com/office/drawing/2014/main" id="{B68E46B3-1261-4ABE-9D38-1CAA3AA8220E}"/>
            </a:ext>
          </a:extLst>
        </xdr:cNvPr>
        <xdr:cNvSpPr txBox="1"/>
      </xdr:nvSpPr>
      <xdr:spPr>
        <a:xfrm>
          <a:off x="10702007" y="1143058"/>
          <a:ext cx="1997668" cy="7130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2E0A668C-1086-4DAC-BB57-53F0E65C7507}" type="TxLink">
            <a:rPr lang="en-US" sz="2800" b="1" i="0" u="none" strike="noStrike">
              <a:solidFill>
                <a:srgbClr val="000000"/>
              </a:solidFill>
              <a:latin typeface="Amasis MT Pro Light" panose="02040304050005020304" pitchFamily="18" charset="0"/>
              <a:ea typeface="+mn-ea"/>
              <a:cs typeface="+mn-cs"/>
            </a:rPr>
            <a:pPr marL="0" indent="0" algn="ctr"/>
            <a:t>7,26%</a:t>
          </a:fld>
          <a:endParaRPr lang="es-ES" sz="2800" b="1" i="0" u="none" strike="noStrike">
            <a:solidFill>
              <a:srgbClr val="000000"/>
            </a:solidFill>
            <a:latin typeface="Amasis MT Pro Light" panose="020403040500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190500</xdr:colOff>
      <xdr:row>1</xdr:row>
      <xdr:rowOff>33618</xdr:rowOff>
    </xdr:from>
    <xdr:to>
      <xdr:col>10</xdr:col>
      <xdr:colOff>22411</xdr:colOff>
      <xdr:row>2</xdr:row>
      <xdr:rowOff>100853</xdr:rowOff>
    </xdr:to>
    <xdr:sp macro="[0]!VentasCorregido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43E31EAC-D270-F8A0-2181-18131639BDC3}"/>
            </a:ext>
          </a:extLst>
        </xdr:cNvPr>
        <xdr:cNvSpPr/>
      </xdr:nvSpPr>
      <xdr:spPr>
        <a:xfrm>
          <a:off x="3059206" y="224118"/>
          <a:ext cx="4134970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</a:rPr>
            <a:t>VENTAS</a:t>
          </a:r>
        </a:p>
      </xdr:txBody>
    </xdr:sp>
    <xdr:clientData/>
  </xdr:twoCellAnchor>
  <xdr:twoCellAnchor>
    <xdr:from>
      <xdr:col>11</xdr:col>
      <xdr:colOff>40342</xdr:colOff>
      <xdr:row>1</xdr:row>
      <xdr:rowOff>34898</xdr:rowOff>
    </xdr:from>
    <xdr:to>
      <xdr:col>16</xdr:col>
      <xdr:colOff>589429</xdr:colOff>
      <xdr:row>2</xdr:row>
      <xdr:rowOff>102133</xdr:rowOff>
    </xdr:to>
    <xdr:sp macro="[0]!BeneficiosCorregido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EA555DDB-4BDF-4CE3-A7C3-43C0E3778AAD}"/>
            </a:ext>
          </a:extLst>
        </xdr:cNvPr>
        <xdr:cNvSpPr/>
      </xdr:nvSpPr>
      <xdr:spPr>
        <a:xfrm>
          <a:off x="7883499" y="225398"/>
          <a:ext cx="4114159" cy="257735"/>
        </a:xfrm>
        <a:prstGeom prst="roundRect">
          <a:avLst/>
        </a:prstGeom>
        <a:solidFill>
          <a:schemeClr val="bg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ES" sz="1200" b="1" i="1">
              <a:solidFill>
                <a:sysClr val="windowText" lastClr="000000"/>
              </a:solidFill>
              <a:latin typeface="Amasis MT Pro Light" panose="02040304050005020304" pitchFamily="18" charset="0"/>
              <a:ea typeface="+mn-ea"/>
              <a:cs typeface="+mn-cs"/>
            </a:rPr>
            <a:t>BENEFICIOS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Óscar Casanova Herrera" refreshedDate="45910.901035995368" createdVersion="8" refreshedVersion="8" minRefreshableVersion="3" recordCount="2000" xr:uid="{63E87C8D-FE30-4CF9-A271-AF9C2EAF4295}">
  <cacheSource type="worksheet">
    <worksheetSource name="Datos"/>
  </cacheSource>
  <cacheFields count="14">
    <cacheField name="DNI" numFmtId="0">
      <sharedItems count="551">
        <s v="73140325Y"/>
        <s v="78050784H"/>
        <s v="39684615P"/>
        <s v="47056266Z"/>
        <s v="98444820F"/>
        <s v="60406750Q"/>
        <s v="70687553H"/>
        <s v="45753758D"/>
        <s v="61675221E"/>
        <s v="27455948A"/>
        <s v="77407381P"/>
        <s v="68283194J"/>
        <s v="17182798Q"/>
        <s v="69975657B"/>
        <s v="12142105G"/>
        <s v="56049204T"/>
        <s v="52509628G"/>
        <s v="13258536D"/>
        <s v="53541075C"/>
        <s v="76300464S"/>
        <s v="22382690E"/>
        <s v="80136439Z"/>
        <s v="43318994H"/>
        <s v="29616131H"/>
        <s v="86637489S"/>
        <s v="47191779P"/>
        <s v="76356245V"/>
        <s v="50816918E"/>
        <s v="79428481P"/>
        <s v="82322524P"/>
        <s v="37354853S"/>
        <s v="75935511N"/>
        <s v="86022727W"/>
        <s v="62022334F"/>
        <s v="43210193R"/>
        <s v="33007489G"/>
        <s v="72897010V"/>
        <s v="49091341Y"/>
        <s v="33751134K"/>
        <s v="36355490C"/>
        <s v="75929777G"/>
        <s v="56364803T"/>
        <s v="14194919V"/>
        <s v="58100223A"/>
        <s v="61528688Z"/>
        <s v="26755285J"/>
        <s v="14329995K"/>
        <s v="42750273N"/>
        <s v="95961337B"/>
        <s v="89318725Z"/>
        <s v="18923254V"/>
        <s v="72014603N"/>
        <s v="38327401J"/>
        <s v="86194597A"/>
        <s v="59323678R"/>
        <s v="89407663C"/>
        <s v="25041916B"/>
        <s v="78068190M"/>
        <s v="20873128J"/>
        <s v="32401817X"/>
        <s v="75042305X"/>
        <s v="71599517E"/>
        <s v="15537123E"/>
        <s v="15175762C"/>
        <s v="29519204L"/>
        <s v="29936949A"/>
        <s v="92473329E"/>
        <s v="61397828K"/>
        <s v="62431275F"/>
        <s v="51984518Y"/>
        <s v="54202650N"/>
        <s v="12683337S"/>
        <s v="57184352W"/>
        <s v="32606300A"/>
        <s v="66443159F"/>
        <s v="32032818A"/>
        <s v="36106179G"/>
        <s v="72280386D"/>
        <s v="74062255S"/>
        <s v="60894171S"/>
        <s v="30345887K"/>
        <s v="56515062P"/>
        <s v="68513495C"/>
        <s v="13480806W"/>
        <s v="26975734C"/>
        <s v="76698712T"/>
        <s v="22594867F"/>
        <s v="41902583S"/>
        <s v="63135739D"/>
        <s v="42216072M"/>
        <s v="56382668C"/>
        <s v="81853630G"/>
        <s v="19810554R"/>
        <s v="29383837Q"/>
        <s v="21709109Y"/>
        <s v="79537241V"/>
        <s v="73118939L"/>
        <s v="81474327R"/>
        <s v="93707522E"/>
        <s v="21110375E"/>
        <s v="94568506J"/>
        <s v="25477239W"/>
        <s v="69937194C"/>
        <s v="38078215F"/>
        <s v="38796114M"/>
        <s v="81882099H"/>
        <s v="99212611C"/>
        <s v="79947200A"/>
        <s v="34520001S"/>
        <s v="52715637F"/>
        <s v="25719076N"/>
        <s v="11071151D"/>
        <s v="69488702L"/>
        <s v="38194604M"/>
        <s v="76041575Z"/>
        <s v="25192785L"/>
        <s v="46770330V"/>
        <s v="87237369E"/>
        <s v="86979884C"/>
        <s v="70052070Z"/>
        <s v="62453405W"/>
        <s v="84293788Y"/>
        <s v="65957367N"/>
        <s v="90127713P"/>
        <s v="79564382L"/>
        <s v="29533936S"/>
        <s v="94640748V"/>
        <s v="19317140N"/>
        <s v="72086839Z"/>
        <s v="33428904N"/>
        <s v="22131279D"/>
        <s v="59397090N"/>
        <s v="93419441Y"/>
        <s v="27686446G"/>
        <s v="50871274T"/>
        <s v="67727269M"/>
        <s v="97327259S"/>
        <s v="64318648D"/>
        <s v="47351895V"/>
        <s v="60021419M"/>
        <s v="14908642Y"/>
        <s v="54472233N"/>
        <s v="31381782Z"/>
        <s v="78406590Q"/>
        <s v="54763821B"/>
        <s v="81974736W"/>
        <s v="50200190W"/>
        <s v="62744415N"/>
        <s v="39447644F"/>
        <s v="96884573C"/>
        <s v="53493978B"/>
        <s v="47682674J"/>
        <s v="29709648V"/>
        <s v="26064323J"/>
        <s v="82037262R"/>
        <s v="19807679H"/>
        <s v="23831899R"/>
        <s v="75126729N"/>
        <s v="98775523E"/>
        <s v="54836989Z"/>
        <s v="75050383F"/>
        <s v="68122452T"/>
        <s v="26220539F"/>
        <s v="88963247V"/>
        <s v="72130616E"/>
        <s v="34463484E"/>
        <s v="93110473B"/>
        <s v="48065238R"/>
        <s v="60503340X"/>
        <s v="23656016J"/>
        <s v="98422506H"/>
        <s v="56293201B"/>
        <s v="76815689N"/>
        <s v="33457973E"/>
        <s v="90721050R"/>
        <s v="25404225G"/>
        <s v="46261416E"/>
        <s v="34152005N"/>
        <s v="24763978R"/>
        <s v="74764244T"/>
        <s v="52332382T"/>
        <s v="83459479N"/>
        <s v="27150054Q"/>
        <s v="21240874E"/>
        <s v="83629279J"/>
        <s v="83654830P"/>
        <s v="90150250P"/>
        <s v="86269664P"/>
        <s v="66068466C"/>
        <s v="83224276N"/>
        <s v="76973083G"/>
        <s v="30524729H"/>
        <s v="93759760C"/>
        <s v="77423638H"/>
        <s v="27544452S"/>
        <s v="25816609A"/>
        <s v="58685683R"/>
        <s v="16160716S"/>
        <s v="26927412V"/>
        <s v="80369578Y"/>
        <s v="82239993Q"/>
        <s v="72806565J"/>
        <s v="81948617K"/>
        <s v="83318886T"/>
        <s v="23579799W"/>
        <s v="99389748L"/>
        <s v="42178889L"/>
        <s v="17612013C"/>
        <s v="32630545L"/>
        <s v="47721875L"/>
        <s v="16713087B"/>
        <s v="36266860N"/>
        <s v="81079621R"/>
        <s v="40112179X"/>
        <s v="24218400F"/>
        <s v="11174276D"/>
        <s v="29624926N"/>
        <s v="50138889Q"/>
        <s v="30185883W"/>
        <s v="91542826V"/>
        <s v="99504531H"/>
        <s v="54700717M"/>
        <s v="51555833T"/>
        <s v="28140809S"/>
        <s v="98859008P"/>
        <s v="27167802A"/>
        <s v="38997211R"/>
        <s v="99522107A"/>
        <s v="19400041D"/>
        <s v="98878504G"/>
        <s v="97511984G"/>
        <s v="34791034X"/>
        <s v="33172051H"/>
        <s v="57592533X"/>
        <s v="90046281W"/>
        <s v="57373377M"/>
        <s v="43702564R"/>
        <s v="64827671E"/>
        <s v="97296934D"/>
        <s v="75297326C"/>
        <s v="16394894S"/>
        <s v="38093364G"/>
        <s v="37894468H"/>
        <s v="25603280C"/>
        <s v="68099855R"/>
        <s v="75238446X"/>
        <s v="10328450N"/>
        <s v="32975738J"/>
        <s v="73591246H"/>
        <s v="58712606F"/>
        <s v="79396453Z"/>
        <s v="68215831E"/>
        <s v="49029944W"/>
        <s v="74971226E"/>
        <s v="90116061K"/>
        <s v="48642044M"/>
        <s v="85731973H"/>
        <s v="32396722X"/>
        <s v="73770262P"/>
        <s v="40127180J"/>
        <s v="39087301M"/>
        <s v="19643265P"/>
        <s v="81650970G"/>
        <s v="93317225B"/>
        <s v="99166520B"/>
        <s v="47921905X"/>
        <s v="44346229E"/>
        <s v="41569513R"/>
        <s v="17152595E"/>
        <s v="24158190E"/>
        <s v="82383079Y"/>
        <s v="95810000S"/>
        <s v="30971998M"/>
        <s v="62785491V"/>
        <s v="10888596V"/>
        <s v="60641232E"/>
        <s v="45537452L"/>
        <s v="75723954T"/>
        <s v="35753054R"/>
        <s v="30035980T"/>
        <s v="59875713J"/>
        <s v="19526138Y"/>
        <s v="18916672R"/>
        <s v="77982084J"/>
        <s v="94273294H"/>
        <s v="33322851B"/>
        <s v="66006663S"/>
        <s v="46192184X"/>
        <s v="21851674A"/>
        <s v="94948447C"/>
        <s v="87647957B"/>
        <s v="89560204F"/>
        <s v="30171392P"/>
        <s v="44592428W"/>
        <s v="70017068R"/>
        <s v="73048187K"/>
        <s v="43115370C"/>
        <s v="27716123A"/>
        <s v="23647156C"/>
        <s v="20752343N"/>
        <s v="32186302J"/>
        <s v="94916088J"/>
        <s v="66906946Z"/>
        <s v="74938482W"/>
        <s v="57866167H"/>
        <s v="91521990X"/>
        <s v="50646343F"/>
        <s v="29803554Z"/>
        <s v="94198875M"/>
        <s v="41393927P"/>
        <s v="97430919K"/>
        <s v="39831529B"/>
        <s v="27607710P"/>
        <s v="84947392B"/>
        <s v="18590736A"/>
        <s v="13564953E"/>
        <s v="37686052P"/>
        <s v="55191594F"/>
        <s v="29655875M"/>
        <s v="14076903T"/>
        <s v="62949991Q"/>
        <s v="98332810L"/>
        <s v="41907584J"/>
        <s v="56286507B"/>
        <s v="97022517E"/>
        <s v="24307952L"/>
        <s v="43887668Y"/>
        <s v="22405083D"/>
        <s v="32719286P"/>
        <s v="75375180C"/>
        <s v="88261632P"/>
        <s v="57602474C"/>
        <s v="95462475B"/>
        <s v="53291667L"/>
        <s v="65314526C"/>
        <s v="98902343V"/>
        <s v="14870323A"/>
        <s v="82665243X"/>
        <s v="64606164D"/>
        <s v="16108062H"/>
        <s v="20387508H"/>
        <s v="96005392N"/>
        <s v="31685954A"/>
        <s v="75380414C"/>
        <s v="48578115R"/>
        <s v="93535977F"/>
        <s v="19927874R"/>
        <s v="98368093E"/>
        <s v="59235419H"/>
        <s v="59445166G"/>
        <s v="54092910T"/>
        <s v="34108238N"/>
        <s v="13616866X"/>
        <s v="63394824M"/>
        <s v="53964424W"/>
        <s v="64146617M"/>
        <s v="98929018S"/>
        <s v="68801912E"/>
        <s v="96932580D"/>
        <s v="25774577W"/>
        <s v="59021071C"/>
        <s v="34807516A"/>
        <s v="59904295D"/>
        <s v="14848696P"/>
        <s v="52436144L"/>
        <s v="28514105X"/>
        <s v="28851187Y"/>
        <s v="43250369L"/>
        <s v="78931472Q"/>
        <s v="26697406G"/>
        <s v="89101631S"/>
        <s v="93937065K"/>
        <s v="73959112C"/>
        <s v="34807018C"/>
        <s v="58883548R"/>
        <s v="96717423B"/>
        <s v="17775861G"/>
        <s v="99141208R"/>
        <s v="63315904N"/>
        <s v="30168642C"/>
        <s v="47107354W"/>
        <s v="93875684R"/>
        <s v="63870705E"/>
        <s v="85166825T"/>
        <s v="31754307R"/>
        <s v="13955423B"/>
        <s v="29310668G"/>
        <s v="52128506P"/>
        <s v="26819453C"/>
        <s v="48312220X"/>
        <s v="10802413V"/>
        <s v="40840456F"/>
        <s v="23284817R"/>
        <s v="78810913C"/>
        <s v="88700666V"/>
        <s v="87771912H"/>
        <s v="11547701B"/>
        <s v="51245528H"/>
        <s v="68563993C"/>
        <s v="76743595Z"/>
        <s v="42024190Q"/>
        <s v="28744129N"/>
        <s v="46157104E"/>
        <s v="54165752S"/>
        <s v="18978610H"/>
        <s v="92055592Q"/>
        <s v="88159798D"/>
        <s v="95604634R"/>
        <s v="81677179Z"/>
        <s v="46656623N"/>
        <s v="47664281C"/>
        <s v="68884825V"/>
        <s v="34175913H"/>
        <s v="62680761V"/>
        <s v="75057904A"/>
        <s v="34878201Z"/>
        <s v="74521699X"/>
        <s v="41795426E"/>
        <s v="39556163R"/>
        <s v="25884911S"/>
        <s v="47755611F"/>
        <s v="81425331D"/>
        <s v="20392465K"/>
        <s v="89236914C"/>
        <s v="30112398H"/>
        <s v="75460958F"/>
        <s v="46923268B"/>
        <s v="79893334D"/>
        <s v="80055409V"/>
        <s v="20925266G"/>
        <s v="81463741J"/>
        <s v="28585047J"/>
        <s v="72786905W"/>
        <s v="68386186V"/>
        <s v="65983767Z"/>
        <s v="93289078M"/>
        <s v="58188117T"/>
        <s v="61323442T"/>
        <s v="42892629X"/>
        <s v="64802146C"/>
        <s v="35837372J"/>
        <s v="91500835V"/>
        <s v="70126013D"/>
        <s v="19661479V"/>
        <s v="36501686E"/>
        <s v="44643740A"/>
        <s v="70902062Z"/>
        <s v="39708352T"/>
        <s v="51156383P"/>
        <s v="20399166B"/>
        <s v="25889817Y"/>
        <s v="41941307A"/>
        <s v="67395343N"/>
        <s v="48364624K"/>
        <s v="45594314E"/>
        <s v="70096056G"/>
        <s v="92305263A"/>
        <s v="49506414H"/>
        <s v="48663168M"/>
        <s v="57163435F"/>
        <s v="38525691Z"/>
        <s v="38679238X"/>
        <s v="45888615P"/>
        <s v="54821895H"/>
        <s v="50859106V"/>
        <s v="79035821T"/>
        <s v="11090375B"/>
        <s v="53641620N"/>
        <s v="24901675Z"/>
        <s v="43431135L"/>
        <s v="56102216W"/>
        <s v="49756775W"/>
        <s v="13640641A"/>
        <s v="81232723F"/>
        <s v="69351661W"/>
        <s v="23002619T"/>
        <s v="27300308F"/>
        <s v="81517674W"/>
        <s v="12294268N"/>
        <s v="84034458J"/>
        <s v="16260059H"/>
        <s v="80026490H"/>
        <s v="93416931F"/>
        <s v="81411165D"/>
        <s v="11449899A"/>
        <s v="23364022P"/>
        <s v="49804545N"/>
        <s v="10411072P"/>
        <s v="62748921F"/>
        <s v="32009017F"/>
        <s v="92247543H"/>
        <s v="49991603G"/>
        <s v="64353660B"/>
        <s v="28865299H"/>
        <s v="28461234A"/>
        <s v="11649973A"/>
        <s v="71589879E"/>
        <s v="11763581J"/>
        <s v="81087911S"/>
        <s v="51090753Z"/>
        <s v="31284639S"/>
        <s v="49835073J"/>
        <s v="69031622W"/>
        <s v="73138291L"/>
        <s v="15135089Y"/>
        <s v="81259224D"/>
        <s v="34522508X"/>
        <s v="70851949L"/>
        <s v="35068212D"/>
        <s v="58661390X"/>
        <s v="98823775Z"/>
        <s v="42767309V"/>
        <s v="68064780B"/>
        <s v="59858749Z"/>
        <s v="11544307K"/>
        <s v="78161168S"/>
        <s v="61001360J"/>
        <s v="71814494X"/>
        <s v="82215583H"/>
        <s v="12467238Y"/>
        <s v="11702422E"/>
        <s v="57462681Z"/>
        <s v="75888930T"/>
        <s v="90234856K"/>
        <s v="31906521X"/>
        <s v="70230242P"/>
        <s v="38432218T"/>
        <s v="87296170T"/>
        <s v="78933998D"/>
        <s v="96596968J"/>
        <s v="12117655K"/>
        <s v="61909248C"/>
        <s v="12395791C"/>
        <s v="81308004C"/>
        <s v="59423044K"/>
        <s v="41696410B"/>
        <s v="54989703G"/>
        <s v="49402347S"/>
        <s v="19219064P"/>
        <s v="17625000R"/>
        <s v="44566104S"/>
        <s v="14628144V"/>
        <s v="44184655J"/>
        <s v="74016141X"/>
        <s v="32533228L"/>
        <s v="76198770G"/>
        <s v="83915531L"/>
        <s v="32147182L"/>
        <s v="46381961D"/>
        <s v="75723215W"/>
        <s v="73286611R"/>
      </sharedItems>
    </cacheField>
    <cacheField name="Nombre" numFmtId="0">
      <sharedItems/>
    </cacheField>
    <cacheField name="Apellidos" numFmtId="0">
      <sharedItems count="551">
        <s v="Cámara Elías"/>
        <s v="Reyes Olivera"/>
        <s v="Solano Luna"/>
        <s v="Lobo Jaume"/>
        <s v="Monreal Rosales"/>
        <s v="Jordá Borja"/>
        <s v="Cobo Belmonte"/>
        <s v="Iriarte Sainz"/>
        <s v="Silva Uriarte"/>
        <s v="Doménech Hervia"/>
        <s v="Solera Beltrán"/>
        <s v="Verdugo Iborra"/>
        <s v="Pomares Rey"/>
        <s v="Benavente Izquierdo"/>
        <s v="Carrasco Guijarro"/>
        <s v="Sevillano Samper"/>
        <s v="Pou Muñoz"/>
        <s v="Lago Rey"/>
        <s v="Torrijos Adán"/>
        <s v="Berenguer Castro"/>
        <s v="Medina Verdú"/>
        <s v="Pedro Ángel"/>
        <s v="Peinado Domingo"/>
        <s v="Bermudez Mercader"/>
        <s v="Reyes Matas"/>
        <s v="Bellido Tapia"/>
        <s v="Gilabert Leal"/>
        <s v="Cid Guerra"/>
        <s v="Nogués Cañas"/>
        <s v="Garcés Sureda"/>
        <s v="Sanz Ferrero"/>
        <s v="Ordóñez Echevarría"/>
        <s v="Soriano Casares"/>
        <s v="Pulido Belda"/>
        <s v="Diez Macías"/>
        <s v="Romero Valencia"/>
        <s v="Padilla Alcolea"/>
        <s v="Mascaró Andrés"/>
        <s v="Castelló Torres"/>
        <s v="Lerma Agudo"/>
        <s v="Sarabia Acosta"/>
        <s v="Azorin Blanes"/>
        <s v="Chaparro Villalobos"/>
        <s v="Olmedo Posada"/>
        <s v="Julián Alarcón"/>
        <s v="Valbuena Haro"/>
        <s v="Saldaña Peralta"/>
        <s v="Estevez Pombo"/>
        <s v="Porta Duran"/>
        <s v="Cano Almazán"/>
        <s v="Frías Calatayud"/>
        <s v="Pastor Diéguez"/>
        <s v="Gallego Rosales"/>
        <s v="Moliner Caro"/>
        <s v="Pons Buendía"/>
        <s v="Bosch Acuña"/>
        <s v="Velázquez Bravo"/>
        <s v="Aragón Vaquero"/>
        <s v="Bermúdez Pi"/>
        <s v="Vidal Escobar"/>
        <s v="Pineda Quesada"/>
        <s v="Carpio Nicolau"/>
        <s v="Soler Hurtado"/>
        <s v="Pou Botella"/>
        <s v="Gallo Miró"/>
        <s v="Ricart Jiménez"/>
        <s v="Valentín Feliu"/>
        <s v="Guillén Peláez"/>
        <s v="Pla Guitart"/>
        <s v="Águila Teruel"/>
        <s v="Lobo Casals"/>
        <s v="Lillo Diez"/>
        <s v="Aguado Godoy"/>
        <s v="Paz Espejo"/>
        <s v="Campillo Téllez"/>
        <s v="Porta Murillo"/>
        <s v="Moliner Bernad"/>
        <s v="Méndez Osorio"/>
        <s v="Olmedo Sureda"/>
        <s v="Cervantes Peiró"/>
        <s v="Marin Sans"/>
        <s v="Canales Arroyo"/>
        <s v="Prieto Gonzalo"/>
        <s v="Vicens Núñez"/>
        <s v="Vaquero Herrero"/>
        <s v="Reig Garcia"/>
        <s v="Samper Mercader"/>
        <s v="Villena Arregui"/>
        <s v="Ramón Ureña"/>
        <s v="Malo Alsina"/>
        <s v="Olivé Peñalver"/>
        <s v="Luís Montesinos"/>
        <s v="Sotelo Mulet"/>
        <s v="Samper Maldonado"/>
        <s v="Acero Dávila"/>
        <s v="Cornejo Alsina"/>
        <s v="Portillo Donoso"/>
        <s v="Castells Lillo"/>
        <s v="Sastre Casanovas"/>
        <s v="Cánovas Sevillano"/>
        <s v="Rosales Pont"/>
        <s v="Reyes Vicente"/>
        <s v="Castrillo Jaén"/>
        <s v="Piña Pinto"/>
        <s v="Nicolau Osorio"/>
        <s v="Arce Menendez"/>
        <s v="Real Cifuentes"/>
        <s v="Olmo Solís"/>
        <s v="Contreras Elorza"/>
        <s v="Casanovas Piña"/>
        <s v="Casanova Vilalta"/>
        <s v="Gámez Donoso"/>
        <s v="Cañellas Jaén"/>
        <s v="Lorenzo Gutiérrez"/>
        <s v="Botella Moreno"/>
        <s v="Soriano Pulido"/>
        <s v="Asensio Gomila"/>
        <s v="Blanca Boix"/>
        <s v="Torres Morán"/>
        <s v="Barceló Nuñez"/>
        <s v="Borja Miralles"/>
        <s v="Soria Rivas"/>
        <s v="Tamayo Sobrino"/>
        <s v="Vallés Novoa"/>
        <s v="Santiago Clemente"/>
        <s v="Prada Martinez"/>
        <s v="Peláez Jordán"/>
        <s v="Escobar Carpio"/>
        <s v="Jódar Samper"/>
        <s v="Pareja Vilalta"/>
        <s v="Acedo Mosquera"/>
        <s v="Alba Grau"/>
        <s v="Gil Adán"/>
        <s v="Oliva Esteve"/>
        <s v="Collado Ferrero"/>
        <s v="Llorente Coello"/>
        <s v="Villalobos Verdugo"/>
        <s v="Bas Feijoo"/>
        <s v="Font Ayllón"/>
        <s v="Tomé Fabregat"/>
        <s v="Pera Dueñas"/>
        <s v="Gallart Saez"/>
        <s v="Lobo Reguera"/>
        <s v="Caparrós Vilanova"/>
        <s v="Serra Matas"/>
        <s v="Villa Jódar"/>
        <s v="Monreal Vigil"/>
        <s v="Mariño Hoyos"/>
        <s v="Araujo Noriega"/>
        <s v="Albero Batlle"/>
        <s v="Mateo Ruano"/>
        <s v="Villar Vilalta"/>
        <s v="Batalla Zapata"/>
        <s v="Cabrera Ripoll"/>
        <s v="Tormo Abascal"/>
        <s v="Rosell Cervera"/>
        <s v="Laguna Miró"/>
        <s v="Blanco Cruz"/>
        <s v="Iglesias Valverde"/>
        <s v="Llorens Barrio"/>
        <s v="Roca Oller"/>
        <s v="Chaparro Fernandez"/>
        <s v="Ripoll Santamaria"/>
        <s v="Llano Porras"/>
        <s v="Galván Llorens"/>
        <s v="Casado Peña"/>
        <s v="Andres Andrade"/>
        <s v="Camacho Duque"/>
        <s v="Francisco Carvajal"/>
        <s v="Vizcaíno Rivero"/>
        <s v="Bello Andreu"/>
        <s v="Conesa Salgado"/>
        <s v="Aguilar Estevez"/>
        <s v="Cadenas Patiño"/>
        <s v="Tolosa Jove"/>
        <s v="Alemany Rivas"/>
        <s v="Lorenzo Almagro"/>
        <s v="Ferrándiz Mariscal"/>
        <s v="Mercader Soriano"/>
        <s v="Valbuena Cánovas"/>
        <s v="Guillén Galindo"/>
        <s v="Quintero Barberá"/>
        <s v="Jaume Andrade"/>
        <s v="Hervás Redondo"/>
        <s v="Aparicio Urrutia"/>
        <s v="Sevilla Ortiz"/>
        <s v="Diaz Revilla"/>
        <s v="Calzada Alsina"/>
        <s v="Bermudez Escobar"/>
        <s v="Valera Marí"/>
        <s v="Pombo Cabanillas"/>
        <s v="Pina Pombo"/>
        <s v="Antúnez Murillo"/>
        <s v="Frías Priego"/>
        <s v="Canet Comas"/>
        <s v="Beltrán Machado"/>
        <s v="Lastra Aranda"/>
        <s v="Carreras Peralta"/>
        <s v="Cueto Nicolás"/>
        <s v="Bernal Mercader"/>
        <s v="Sanmartín Gracia"/>
        <s v="Zaragoza Agustí"/>
        <s v="Águila Cortina"/>
        <s v="Clavero Pou"/>
        <s v="Amat Castañeda"/>
        <s v="Lozano Marin"/>
        <s v="Galvez Ros"/>
        <s v="Burgos Arroyo"/>
        <s v="Muñoz Carnero"/>
        <s v="Lastra Buendía"/>
        <s v="Cantón Cantero"/>
        <s v="Pagès Merino"/>
        <s v="Berrocal Guardia"/>
        <s v="Aramburu Sanmartín"/>
        <s v="Casanova Barrio"/>
        <s v="Figueras Frutos"/>
        <s v="Benavente Ayala"/>
        <s v="Cal Macías"/>
        <s v="Cañete Roda"/>
        <s v="Solís Belda"/>
        <s v="Crespi Caparrós"/>
        <s v="Avilés Zaragoza"/>
        <s v="Ropero Río"/>
        <s v="Delgado Andreu"/>
        <s v="Patiño Crespi"/>
        <s v="Llanos Alba"/>
        <s v="Ramis Montenegro"/>
        <s v="Campoy Hervás"/>
        <s v="Ponce Villalobos"/>
        <s v="Vendrell Pinedo"/>
        <s v="Valenciano Berenguer"/>
        <s v="Arrieta Ferrero"/>
        <s v="Luna Lasa"/>
        <s v="Zorrilla Egea"/>
        <s v="Caballero Prado"/>
        <s v="Lerma Cuadrado"/>
        <s v="López Guzmán"/>
        <s v="Muñoz Ballester"/>
        <s v="Cabeza Salom"/>
        <s v="Perea Ordóñez"/>
        <s v="Tejada Montenegro"/>
        <s v="Acuña Sierra"/>
        <s v="Guardia Villar"/>
        <s v="Olmedo Roldán"/>
        <s v="Goicoechea Juliá"/>
        <s v="Cózar Plana"/>
        <s v="Parra Llamas"/>
        <s v="Barrio Jimenez"/>
        <s v="Pomares Olivera"/>
        <s v="Mármol Ripoll"/>
        <s v="Merino Barral"/>
        <s v="Garmendia Galvez"/>
        <s v="Acosta Seco"/>
        <s v="Ariza Tello"/>
        <s v="Chacón Amaya"/>
        <s v="Busquets Sarabia"/>
        <s v="Guillén Llorente"/>
        <s v="Palomares Hervia"/>
        <s v="Bartolomé Guitart"/>
        <s v="Pereira Gomila"/>
        <s v="Asenjo Castejón"/>
        <s v="Acosta Herranz"/>
        <s v="Hernando Girona"/>
        <s v="Tejera Manso"/>
        <s v="Luque Pineda"/>
        <s v="Llabrés Sanchez"/>
        <s v="Palomo Alcázar"/>
        <s v="Saavedra Crespi"/>
        <s v="Camino Gutiérrez"/>
        <s v="Velázquez Marti"/>
        <s v="Márquez Vallés"/>
        <s v="Zamorano Jaume"/>
        <s v="Soriano Montserrat"/>
        <s v="Novoa Valbuena"/>
        <s v="Cortés Diego"/>
        <s v="Galindo Cabañas"/>
        <s v="Serrano Silva"/>
        <s v="Rivas Puente"/>
        <s v="Cal Clemente"/>
        <s v="Blanco Marquez"/>
        <s v="Hidalgo Borrell"/>
        <s v="Lluch Manzano"/>
        <s v="Ayllón Guardia"/>
        <s v="Nadal Matas"/>
        <s v="Romero Barco"/>
        <s v="Jiménez Carnero"/>
        <s v="Fonseca Casanova"/>
        <s v="Pujol Ayala"/>
        <s v="Pereira Bernad"/>
        <s v="Matas Barriga"/>
        <s v="Lucena Sala"/>
        <s v="Capdevila Gracia"/>
        <s v="Calleja Saura"/>
        <s v="Falcó Camps"/>
        <s v="Carro Ojeda"/>
        <s v="Herrero Benavente"/>
        <s v="Posada Pujol"/>
        <s v="Chaparro Tormo"/>
        <s v="Torrecilla Barroso"/>
        <s v="Diego Vicente"/>
        <s v="Castillo Aragón"/>
        <s v="Guerrero Baquero"/>
        <s v="Llano Huertas"/>
        <s v="Francisco Benavente"/>
        <s v="Botella Revilla"/>
        <s v="Vila Miró"/>
        <s v="Girón Solsona"/>
        <s v="Salvà Mateo"/>
        <s v="Ramírez Vargas"/>
        <s v="Villaverde Salcedo"/>
        <s v="Montes Salazar"/>
        <s v="Planas Ferrándiz"/>
        <s v="Marí Morante"/>
        <s v="Izquierdo Barrios"/>
        <s v="Robles Comas"/>
        <s v="Cueto Castells"/>
        <s v="Aranda Lledó"/>
        <s v="Vicens Beltran"/>
        <s v="Naranjo Goñi"/>
        <s v="Marquez Fiol"/>
        <s v="Franco Francisco"/>
        <s v="Galván Ricart"/>
        <s v="Abellán Mariscal"/>
        <s v="Exposito Salvador"/>
        <s v="Merino Quero"/>
        <s v="Hernández Bermejo"/>
        <s v="Corral Galan"/>
        <s v="Fuente Losada"/>
        <s v="Tello Casas"/>
        <s v="Manjón Gil"/>
        <s v="Quesada Carbonell"/>
        <s v="Manjón Asensio"/>
        <s v="Torrents Sandoval"/>
        <s v="Lledó Perea"/>
        <s v="Gomez Oliver"/>
        <s v="Barco Abad"/>
        <s v="Cabello Dávila"/>
        <s v="Agullo Cortina"/>
        <s v="Morell Pino"/>
        <s v="Alcántara Llano"/>
        <s v="Silva Iriarte"/>
        <s v="Seguí Santos"/>
        <s v="Redondo Juan"/>
        <s v="Llopis Mosquera"/>
        <s v="Villar Badía"/>
        <s v="Iglesias Mur"/>
        <s v="Soto Rosa"/>
        <s v="Soriano Codina"/>
        <s v="Villegas Padilla"/>
        <s v="Antón Marí"/>
        <s v="Fajardo Roman"/>
        <s v="Yáñez Piquer"/>
        <s v="Torres Borrás"/>
        <s v="Gabaldón Jover"/>
        <s v="Tirado Hervia"/>
        <s v="Hernández Escribano"/>
        <s v="Aliaga Morales"/>
        <s v="Cortina Galindo"/>
        <s v="Aguado Arteaga"/>
        <s v="Valentín Colom"/>
        <s v="Iniesta Ochoa"/>
        <s v="Gálvez Camacho"/>
        <s v="Sales Sanchez"/>
        <s v="Guardiola Ribes"/>
        <s v="Morell Valdés"/>
        <s v="Pujadas Rocamora"/>
        <s v="Pino Garcés"/>
        <s v="Castrillo Lasa"/>
        <s v="Tormo Sainz"/>
        <s v="Linares Tovar"/>
        <s v="Roig Zamora"/>
        <s v="Jaén Tejera"/>
        <s v="Elías Morera"/>
        <s v="Ramón Naranjo"/>
        <s v="Jordá Tur"/>
        <s v="Guillen Perea"/>
        <s v="Ricart Lozano"/>
        <s v="Falcó Lobato"/>
        <s v="Amaya Carlos"/>
        <s v="Cordero Vaquero"/>
        <s v="Méndez Vilalta"/>
        <s v="Lucas Ibañez"/>
        <s v="Carbonell Bejarano"/>
        <s v="Reyes Echevarría"/>
        <s v="Hervás Godoy"/>
        <s v="Roma Muñoz"/>
        <s v="Vargas Rebollo"/>
        <s v="Pedro Benavent"/>
        <s v="Vilaplana Garcés"/>
        <s v="Sastre Posada"/>
        <s v="Rosado Vidal"/>
        <s v="Hurtado Iniesta"/>
        <s v="Milla Mayol"/>
        <s v="Jaén Fabra"/>
        <s v="Almagro Zabaleta"/>
        <s v="Colom Verdugo"/>
        <s v="Calderón Company"/>
        <s v="Rebollo Cervantes"/>
        <s v="Monreal Amores"/>
        <s v="Ayala Saez"/>
        <s v="Otero Somoza"/>
        <s v="Granados Cánovas"/>
        <s v="Villalobos Carreras"/>
        <s v="Gutiérrez Castilla"/>
        <s v="Mulet Arévalo"/>
        <s v="Solera Sarmiento"/>
        <s v="Lasa Barros"/>
        <s v="Bermudez Olivé"/>
        <s v="Santamaria Bosch"/>
        <s v="Reig Dominguez"/>
        <s v="Santana Báez"/>
        <s v="Boada Antón"/>
        <s v="Larrea Lorenzo"/>
        <s v="Nuñez Macías"/>
        <s v="Cerdá Echeverría"/>
        <s v="Vilanova Palmer"/>
        <s v="Campos Vélez"/>
        <s v="Montes Fuente"/>
        <s v="Tormo Parejo"/>
        <s v="Zorrilla Mascaró"/>
        <s v="Abascal Farré"/>
        <s v="Porras Vega"/>
        <s v="Torrents Bermudez"/>
        <s v="Zorrilla Simó"/>
        <s v="Alvarez Vergara"/>
        <s v="Vilalta Tello"/>
        <s v="Rovira Barco"/>
        <s v="Ávila Torre"/>
        <s v="Piñol Ribes"/>
        <s v="Mulet Hoyos"/>
        <s v="Jara Bayona"/>
        <s v="Soto Moreno"/>
        <s v="Esteve Ballester"/>
        <s v="Hoz Pi"/>
        <s v="Duque Cuéllar"/>
        <s v="Arco Barbero"/>
        <s v="Guardia Garriga"/>
        <s v="Carretero Revilla"/>
        <s v="Marí Angulo"/>
        <s v="Peñas Rosa"/>
        <s v="Azcona Ruano"/>
        <s v="Balaguer Asensio"/>
        <s v="Lozano Gonzalez"/>
        <s v="Fernandez Pol"/>
        <s v="Chacón Manrique"/>
        <s v="Sureda Colomer"/>
        <s v="Castells Suárez"/>
        <s v="Carbonell Guzmán"/>
        <s v="Figuerola Hierro"/>
        <s v="Gisbert Águila"/>
        <s v="Miró Sainz"/>
        <s v="Borrás Mendoza"/>
        <s v="Perelló Palomares"/>
        <s v="Adán Camino"/>
        <s v="Polo Cuevas"/>
        <s v="Canet Vilar"/>
        <s v="Quirós Carbonell"/>
        <s v="Puente Gracia"/>
        <s v="Canals Madrid"/>
        <s v="Galván Pedrero"/>
        <s v="Ojeda Garzón"/>
        <s v="Puerta Rosselló"/>
        <s v="Pou Quintana"/>
        <s v="Mármol Seguí"/>
        <s v="Prat Carro"/>
        <s v="Santiago Barriga"/>
        <s v="Ramón Jurado"/>
        <s v="Madrid Ortiz"/>
        <s v="Alemany Coello"/>
        <s v="Ropero Falcón"/>
        <s v="Ruiz Benet"/>
        <s v="Arnau Pellicer"/>
        <s v="Rivera Atienza"/>
        <s v="Garcia Camino"/>
        <s v="Rosell Marin"/>
        <s v="Herrera Garay"/>
        <s v="Maestre Blasco"/>
        <s v="Tejera Mendoza"/>
        <s v="Llano Benavides"/>
        <s v="Salas Nogueira"/>
        <s v="Carvajal Murcia"/>
        <s v="Cañellas Baró"/>
        <s v="Planas Bolaños"/>
        <s v="Contreras Bosch"/>
        <s v="Benavides Carrión"/>
        <s v="Enríquez Lamas"/>
        <s v="Almansa Verdejo"/>
        <s v="Bru Cruz"/>
        <s v="Alonso Gimeno"/>
        <s v="Luz Aguado"/>
        <s v="Neira Lago"/>
        <s v="Márquez Roura"/>
        <s v="Palomar Guitart"/>
        <s v="Ribera Baños"/>
        <s v="Acedo Esteban"/>
        <s v="Verdejo Buendía"/>
        <s v="Villalonga Morell"/>
        <s v="Pardo Saldaña"/>
        <s v="Mayol Yáñez"/>
        <s v="Seco Feijoo"/>
        <s v="Puga Marco"/>
        <s v="Soler Llorente"/>
        <s v="Díaz Sanmartín"/>
        <s v="Casal Falcón"/>
        <s v="Carranza Lobato"/>
        <s v="Ponce Ricart"/>
        <s v="Trujillo Correa"/>
        <s v="Valera Martín"/>
        <s v="Pagès Garrido"/>
        <s v="Cabeza Dávila"/>
        <s v="Cuéllar Armengol"/>
        <s v="Escribano Morillo"/>
        <s v="Cobos Quevedo"/>
        <s v="Valero Piquer"/>
        <s v="Ortiz Hoyos"/>
        <s v="Barroso López"/>
        <s v="Menéndez Barco"/>
        <s v="Arroyo Barceló"/>
        <s v="Torrijos Tormo"/>
        <s v="Briones Salazar"/>
        <s v="Rincón Nogueira"/>
        <s v="Blanch Castrillo"/>
        <s v="Tello Benet"/>
        <s v="Ricart Cervera"/>
        <s v="Riquelme Mayoral"/>
        <s v="Priego Baños"/>
        <s v="Manzanares Exposito"/>
        <s v="Leon Alegre"/>
        <s v="Méndez Blázquez"/>
        <s v="Baró Novoa"/>
        <s v="Arenas Luz"/>
        <s v="Guzmán Juan"/>
        <s v="Gimenez Clavero"/>
        <s v="Heras Alfonso"/>
        <s v="Moll Blanco"/>
        <s v="Roldán Casals"/>
        <s v="Santana Palma"/>
        <s v="Girón Toledo"/>
        <s v="Abascal Sedano"/>
        <s v="Manrique Vigil"/>
        <s v="Ribes Barrio"/>
        <s v="Carrasco Mariscal"/>
        <s v="Ferreras Dominguez"/>
        <s v="Cárdenas Navarro"/>
        <s v="Sáenz Molina"/>
        <s v="Alonso Martorell"/>
        <s v="Almansa Landa"/>
        <s v="Folch Pomares"/>
        <s v="Rubio Alvarez"/>
        <s v="Abellán Cal"/>
        <s v="Palomino Duque"/>
      </sharedItems>
    </cacheField>
    <cacheField name="Teléfono" numFmtId="0">
      <sharedItems containsSemiMixedTypes="0" containsString="0" containsNumber="1" containsInteger="1" minValue="604558275" maxValue="997739940"/>
    </cacheField>
    <cacheField name="Género" numFmtId="0">
      <sharedItems count="3">
        <s v="Mujer"/>
        <s v="Hombre"/>
        <s v="Otro"/>
      </sharedItems>
    </cacheField>
    <cacheField name="Fecha (EU)" numFmtId="14">
      <sharedItems containsSemiMixedTypes="0" containsNonDate="0" containsDate="1" containsString="0" minDate="2023-09-10T00:00:00" maxDate="2025-09-10T00:00:00" count="679">
        <d v="2024-04-15T00:00:00"/>
        <d v="2024-02-10T00:00:00"/>
        <d v="2024-10-27T00:00:00"/>
        <d v="2024-06-12T00:00:00"/>
        <d v="2025-04-02T00:00:00"/>
        <d v="2023-09-25T00:00:00"/>
        <d v="2024-09-11T00:00:00"/>
        <d v="2024-05-11T00:00:00"/>
        <d v="2025-07-25T00:00:00"/>
        <d v="2024-01-30T00:00:00"/>
        <d v="2023-10-01T00:00:00"/>
        <d v="2023-10-11T00:00:00"/>
        <d v="2023-10-28T00:00:00"/>
        <d v="2025-01-14T00:00:00"/>
        <d v="2023-09-30T00:00:00"/>
        <d v="2023-12-02T00:00:00"/>
        <d v="2024-01-07T00:00:00"/>
        <d v="2024-09-19T00:00:00"/>
        <d v="2025-03-24T00:00:00"/>
        <d v="2025-06-24T00:00:00"/>
        <d v="2024-03-26T00:00:00"/>
        <d v="2024-12-18T00:00:00"/>
        <d v="2024-12-01T00:00:00"/>
        <d v="2025-06-03T00:00:00"/>
        <d v="2025-06-19T00:00:00"/>
        <d v="2025-06-25T00:00:00"/>
        <d v="2025-05-04T00:00:00"/>
        <d v="2023-11-18T00:00:00"/>
        <d v="2025-08-10T00:00:00"/>
        <d v="2023-11-22T00:00:00"/>
        <d v="2024-09-06T00:00:00"/>
        <d v="2024-05-16T00:00:00"/>
        <d v="2024-07-04T00:00:00"/>
        <d v="2024-03-29T00:00:00"/>
        <d v="2025-03-18T00:00:00"/>
        <d v="2024-11-11T00:00:00"/>
        <d v="2024-12-11T00:00:00"/>
        <d v="2024-07-07T00:00:00"/>
        <d v="2024-05-14T00:00:00"/>
        <d v="2024-09-02T00:00:00"/>
        <d v="2024-02-29T00:00:00"/>
        <d v="2025-04-20T00:00:00"/>
        <d v="2025-04-19T00:00:00"/>
        <d v="2025-08-24T00:00:00"/>
        <d v="2024-06-30T00:00:00"/>
        <d v="2024-08-26T00:00:00"/>
        <d v="2024-04-23T00:00:00"/>
        <d v="2025-02-13T00:00:00"/>
        <d v="2023-10-27T00:00:00"/>
        <d v="2025-05-08T00:00:00"/>
        <d v="2025-07-01T00:00:00"/>
        <d v="2025-02-06T00:00:00"/>
        <d v="2024-02-27T00:00:00"/>
        <d v="2023-11-25T00:00:00"/>
        <d v="2024-09-22T00:00:00"/>
        <d v="2025-06-23T00:00:00"/>
        <d v="2024-03-12T00:00:00"/>
        <d v="2023-11-08T00:00:00"/>
        <d v="2024-07-23T00:00:00"/>
        <d v="2025-04-15T00:00:00"/>
        <d v="2024-05-24T00:00:00"/>
        <d v="2025-07-04T00:00:00"/>
        <d v="2025-07-14T00:00:00"/>
        <d v="2024-04-21T00:00:00"/>
        <d v="2024-06-21T00:00:00"/>
        <d v="2025-03-21T00:00:00"/>
        <d v="2024-05-04T00:00:00"/>
        <d v="2025-08-17T00:00:00"/>
        <d v="2025-02-19T00:00:00"/>
        <d v="2025-03-16T00:00:00"/>
        <d v="2024-06-26T00:00:00"/>
        <d v="2023-12-24T00:00:00"/>
        <d v="2024-07-10T00:00:00"/>
        <d v="2023-10-22T00:00:00"/>
        <d v="2023-11-19T00:00:00"/>
        <d v="2023-12-09T00:00:00"/>
        <d v="2024-01-10T00:00:00"/>
        <d v="2023-12-04T00:00:00"/>
        <d v="2023-11-07T00:00:00"/>
        <d v="2023-11-26T00:00:00"/>
        <d v="2024-08-01T00:00:00"/>
        <d v="2024-02-11T00:00:00"/>
        <d v="2024-09-10T00:00:00"/>
        <d v="2024-09-30T00:00:00"/>
        <d v="2023-12-18T00:00:00"/>
        <d v="2025-05-06T00:00:00"/>
        <d v="2025-01-31T00:00:00"/>
        <d v="2024-08-22T00:00:00"/>
        <d v="2024-07-16T00:00:00"/>
        <d v="2024-05-23T00:00:00"/>
        <d v="2024-04-01T00:00:00"/>
        <d v="2024-06-27T00:00:00"/>
        <d v="2024-04-04T00:00:00"/>
        <d v="2024-05-07T00:00:00"/>
        <d v="2024-02-16T00:00:00"/>
        <d v="2023-12-29T00:00:00"/>
        <d v="2025-08-15T00:00:00"/>
        <d v="2024-07-25T00:00:00"/>
        <d v="2023-09-29T00:00:00"/>
        <d v="2025-08-12T00:00:00"/>
        <d v="2024-10-08T00:00:00"/>
        <d v="2024-05-20T00:00:00"/>
        <d v="2025-02-08T00:00:00"/>
        <d v="2024-11-12T00:00:00"/>
        <d v="2024-04-27T00:00:00"/>
        <d v="2025-01-22T00:00:00"/>
        <d v="2024-06-25T00:00:00"/>
        <d v="2024-04-07T00:00:00"/>
        <d v="2025-07-26T00:00:00"/>
        <d v="2024-06-20T00:00:00"/>
        <d v="2023-11-13T00:00:00"/>
        <d v="2024-12-16T00:00:00"/>
        <d v="2025-06-12T00:00:00"/>
        <d v="2025-05-22T00:00:00"/>
        <d v="2024-12-26T00:00:00"/>
        <d v="2024-03-09T00:00:00"/>
        <d v="2024-10-22T00:00:00"/>
        <d v="2025-08-20T00:00:00"/>
        <d v="2024-06-22T00:00:00"/>
        <d v="2025-03-20T00:00:00"/>
        <d v="2023-10-24T00:00:00"/>
        <d v="2025-04-05T00:00:00"/>
        <d v="2024-07-22T00:00:00"/>
        <d v="2025-05-12T00:00:00"/>
        <d v="2024-03-20T00:00:00"/>
        <d v="2024-07-27T00:00:00"/>
        <d v="2024-12-08T00:00:00"/>
        <d v="2025-07-12T00:00:00"/>
        <d v="2025-04-14T00:00:00"/>
        <d v="2024-11-05T00:00:00"/>
        <d v="2024-06-16T00:00:00"/>
        <d v="2025-09-09T00:00:00"/>
        <d v="2025-03-15T00:00:00"/>
        <d v="2025-06-08T00:00:00"/>
        <d v="2025-03-10T00:00:00"/>
        <d v="2024-01-13T00:00:00"/>
        <d v="2024-10-14T00:00:00"/>
        <d v="2024-02-09T00:00:00"/>
        <d v="2025-08-01T00:00:00"/>
        <d v="2025-05-31T00:00:00"/>
        <d v="2024-05-17T00:00:00"/>
        <d v="2023-09-26T00:00:00"/>
        <d v="2024-10-18T00:00:00"/>
        <d v="2025-04-27T00:00:00"/>
        <d v="2024-06-13T00:00:00"/>
        <d v="2024-05-19T00:00:00"/>
        <d v="2025-01-06T00:00:00"/>
        <d v="2024-01-27T00:00:00"/>
        <d v="2024-12-06T00:00:00"/>
        <d v="2024-10-17T00:00:00"/>
        <d v="2024-03-25T00:00:00"/>
        <d v="2023-10-17T00:00:00"/>
        <d v="2024-08-07T00:00:00"/>
        <d v="2024-06-19T00:00:00"/>
        <d v="2024-07-26T00:00:00"/>
        <d v="2023-09-14T00:00:00"/>
        <d v="2024-04-05T00:00:00"/>
        <d v="2025-09-07T00:00:00"/>
        <d v="2025-02-12T00:00:00"/>
        <d v="2025-01-27T00:00:00"/>
        <d v="2024-04-28T00:00:00"/>
        <d v="2023-12-23T00:00:00"/>
        <d v="2023-12-27T00:00:00"/>
        <d v="2025-01-13T00:00:00"/>
        <d v="2024-02-21T00:00:00"/>
        <d v="2025-01-23T00:00:00"/>
        <d v="2025-05-15T00:00:00"/>
        <d v="2025-06-18T00:00:00"/>
        <d v="2024-04-22T00:00:00"/>
        <d v="2024-11-04T00:00:00"/>
        <d v="2024-08-05T00:00:00"/>
        <d v="2024-03-23T00:00:00"/>
        <d v="2024-07-24T00:00:00"/>
        <d v="2024-02-01T00:00:00"/>
        <d v="2023-12-11T00:00:00"/>
        <d v="2024-12-05T00:00:00"/>
        <d v="2025-08-30T00:00:00"/>
        <d v="2025-08-08T00:00:00"/>
        <d v="2023-11-16T00:00:00"/>
        <d v="2023-10-02T00:00:00"/>
        <d v="2025-05-14T00:00:00"/>
        <d v="2025-06-21T00:00:00"/>
        <d v="2023-09-15T00:00:00"/>
        <d v="2025-03-09T00:00:00"/>
        <d v="2024-08-28T00:00:00"/>
        <d v="2024-10-05T00:00:00"/>
        <d v="2024-02-24T00:00:00"/>
        <d v="2024-10-11T00:00:00"/>
        <d v="2024-09-04T00:00:00"/>
        <d v="2025-07-09T00:00:00"/>
        <d v="2024-04-18T00:00:00"/>
        <d v="2024-01-26T00:00:00"/>
        <d v="2024-08-15T00:00:00"/>
        <d v="2024-04-14T00:00:00"/>
        <d v="2024-01-20T00:00:00"/>
        <d v="2024-12-23T00:00:00"/>
        <d v="2024-08-17T00:00:00"/>
        <d v="2024-06-15T00:00:00"/>
        <d v="2025-01-05T00:00:00"/>
        <d v="2024-11-24T00:00:00"/>
        <d v="2024-11-13T00:00:00"/>
        <d v="2025-05-17T00:00:00"/>
        <d v="2023-10-30T00:00:00"/>
        <d v="2024-03-14T00:00:00"/>
        <d v="2024-06-03T00:00:00"/>
        <d v="2024-09-26T00:00:00"/>
        <d v="2023-12-21T00:00:00"/>
        <d v="2024-09-15T00:00:00"/>
        <d v="2025-03-01T00:00:00"/>
        <d v="2023-11-20T00:00:00"/>
        <d v="2024-08-29T00:00:00"/>
        <d v="2025-07-06T00:00:00"/>
        <d v="2024-12-17T00:00:00"/>
        <d v="2024-12-20T00:00:00"/>
        <d v="2023-12-17T00:00:00"/>
        <d v="2025-07-16T00:00:00"/>
        <d v="2024-08-10T00:00:00"/>
        <d v="2025-03-25T00:00:00"/>
        <d v="2025-06-06T00:00:00"/>
        <d v="2025-05-23T00:00:00"/>
        <d v="2025-08-28T00:00:00"/>
        <d v="2025-01-12T00:00:00"/>
        <d v="2023-10-03T00:00:00"/>
        <d v="2025-08-16T00:00:00"/>
        <d v="2024-06-02T00:00:00"/>
        <d v="2024-07-13T00:00:00"/>
        <d v="2025-02-27T00:00:00"/>
        <d v="2025-09-08T00:00:00"/>
        <d v="2025-08-29T00:00:00"/>
        <d v="2025-05-18T00:00:00"/>
        <d v="2024-04-19T00:00:00"/>
        <d v="2024-06-23T00:00:00"/>
        <d v="2024-01-02T00:00:00"/>
        <d v="2025-01-04T00:00:00"/>
        <d v="2024-06-17T00:00:00"/>
        <d v="2023-12-05T00:00:00"/>
        <d v="2025-05-24T00:00:00"/>
        <d v="2024-06-07T00:00:00"/>
        <d v="2024-09-16T00:00:00"/>
        <d v="2023-11-06T00:00:00"/>
        <d v="2023-10-13T00:00:00"/>
        <d v="2024-10-07T00:00:00"/>
        <d v="2024-06-28T00:00:00"/>
        <d v="2025-07-29T00:00:00"/>
        <d v="2024-01-05T00:00:00"/>
        <d v="2023-12-12T00:00:00"/>
        <d v="2024-05-27T00:00:00"/>
        <d v="2023-09-23T00:00:00"/>
        <d v="2025-04-06T00:00:00"/>
        <d v="2023-12-28T00:00:00"/>
        <d v="2025-04-18T00:00:00"/>
        <d v="2025-07-20T00:00:00"/>
        <d v="2024-08-04T00:00:00"/>
        <d v="2025-02-04T00:00:00"/>
        <d v="2025-02-10T00:00:00"/>
        <d v="2024-03-17T00:00:00"/>
        <d v="2024-12-12T00:00:00"/>
        <d v="2025-07-27T00:00:00"/>
        <d v="2024-03-21T00:00:00"/>
        <d v="2024-11-18T00:00:00"/>
        <d v="2023-10-18T00:00:00"/>
        <d v="2023-10-19T00:00:00"/>
        <d v="2024-05-12T00:00:00"/>
        <d v="2024-04-17T00:00:00"/>
        <d v="2024-07-31T00:00:00"/>
        <d v="2023-10-26T00:00:00"/>
        <d v="2024-02-07T00:00:00"/>
        <d v="2024-03-16T00:00:00"/>
        <d v="2025-04-16T00:00:00"/>
        <d v="2025-06-30T00:00:00"/>
        <d v="2025-02-09T00:00:00"/>
        <d v="2025-09-02T00:00:00"/>
        <d v="2025-06-04T00:00:00"/>
        <d v="2025-02-15T00:00:00"/>
        <d v="2025-05-05T00:00:00"/>
        <d v="2025-01-11T00:00:00"/>
        <d v="2024-04-02T00:00:00"/>
        <d v="2025-04-30T00:00:00"/>
        <d v="2025-04-26T00:00:00"/>
        <d v="2025-06-16T00:00:00"/>
        <d v="2025-03-14T00:00:00"/>
        <d v="2025-01-16T00:00:00"/>
        <d v="2024-02-06T00:00:00"/>
        <d v="2024-08-14T00:00:00"/>
        <d v="2024-07-21T00:00:00"/>
        <d v="2024-03-22T00:00:00"/>
        <d v="2024-07-17T00:00:00"/>
        <d v="2023-11-17T00:00:00"/>
        <d v="2024-08-11T00:00:00"/>
        <d v="2024-03-13T00:00:00"/>
        <d v="2024-05-06T00:00:00"/>
        <d v="2024-12-27T00:00:00"/>
        <d v="2024-02-14T00:00:00"/>
        <d v="2024-07-08T00:00:00"/>
        <d v="2024-07-29T00:00:00"/>
        <d v="2025-05-10T00:00:00"/>
        <d v="2024-12-29T00:00:00"/>
        <d v="2023-11-11T00:00:00"/>
        <d v="2023-12-01T00:00:00"/>
        <d v="2025-03-11T00:00:00"/>
        <d v="2024-02-20T00:00:00"/>
        <d v="2024-10-25T00:00:00"/>
        <d v="2025-04-28T00:00:00"/>
        <d v="2025-03-17T00:00:00"/>
        <d v="2024-03-04T00:00:00"/>
        <d v="2023-09-20T00:00:00"/>
        <d v="2024-06-09T00:00:00"/>
        <d v="2023-12-06T00:00:00"/>
        <d v="2024-01-15T00:00:00"/>
        <d v="2023-12-08T00:00:00"/>
        <d v="2025-05-09T00:00:00"/>
        <d v="2025-02-22T00:00:00"/>
        <d v="2023-09-28T00:00:00"/>
        <d v="2024-12-09T00:00:00"/>
        <d v="2024-07-01T00:00:00"/>
        <d v="2023-11-24T00:00:00"/>
        <d v="2024-10-19T00:00:00"/>
        <d v="2024-09-28T00:00:00"/>
        <d v="2023-11-10T00:00:00"/>
        <d v="2024-12-31T00:00:00"/>
        <d v="2025-01-03T00:00:00"/>
        <d v="2025-05-29T00:00:00"/>
        <d v="2024-12-13T00:00:00"/>
        <d v="2025-07-23T00:00:00"/>
        <d v="2024-02-17T00:00:00"/>
        <d v="2023-09-18T00:00:00"/>
        <d v="2024-05-29T00:00:00"/>
        <d v="2025-04-29T00:00:00"/>
        <d v="2025-08-27T00:00:00"/>
        <d v="2024-05-10T00:00:00"/>
        <d v="2024-01-11T00:00:00"/>
        <d v="2024-10-24T00:00:00"/>
        <d v="2025-07-10T00:00:00"/>
        <d v="2024-12-25T00:00:00"/>
        <d v="2024-08-19T00:00:00"/>
        <d v="2024-11-17T00:00:00"/>
        <d v="2025-08-09T00:00:00"/>
        <d v="2024-07-15T00:00:00"/>
        <d v="2023-11-27T00:00:00"/>
        <d v="2025-01-09T00:00:00"/>
        <d v="2024-11-16T00:00:00"/>
        <d v="2024-12-30T00:00:00"/>
        <d v="2025-02-25T00:00:00"/>
        <d v="2025-01-24T00:00:00"/>
        <d v="2025-06-17T00:00:00"/>
        <d v="2023-12-25T00:00:00"/>
        <d v="2025-02-17T00:00:00"/>
        <d v="2024-11-01T00:00:00"/>
        <d v="2024-12-19T00:00:00"/>
        <d v="2025-06-09T00:00:00"/>
        <d v="2025-06-13T00:00:00"/>
        <d v="2023-11-04T00:00:00"/>
        <d v="2024-02-23T00:00:00"/>
        <d v="2025-02-20T00:00:00"/>
        <d v="2024-10-28T00:00:00"/>
        <d v="2025-08-04T00:00:00"/>
        <d v="2025-01-17T00:00:00"/>
        <d v="2024-07-28T00:00:00"/>
        <d v="2024-01-16T00:00:00"/>
        <d v="2025-04-07T00:00:00"/>
        <d v="2025-08-05T00:00:00"/>
        <d v="2025-01-08T00:00:00"/>
        <d v="2024-03-30T00:00:00"/>
        <d v="2024-04-30T00:00:00"/>
        <d v="2025-03-19T00:00:00"/>
        <d v="2024-10-20T00:00:00"/>
        <d v="2025-01-07T00:00:00"/>
        <d v="2024-10-30T00:00:00"/>
        <d v="2023-10-15T00:00:00"/>
        <d v="2025-03-29T00:00:00"/>
        <d v="2025-04-04T00:00:00"/>
        <d v="2023-09-13T00:00:00"/>
        <d v="2025-04-13T00:00:00"/>
        <d v="2023-12-10T00:00:00"/>
        <d v="2024-09-18T00:00:00"/>
        <d v="2023-10-07T00:00:00"/>
        <d v="2023-11-30T00:00:00"/>
        <d v="2024-11-23T00:00:00"/>
        <d v="2023-11-09T00:00:00"/>
        <d v="2024-01-19T00:00:00"/>
        <d v="2024-12-02T00:00:00"/>
        <d v="2024-01-24T00:00:00"/>
        <d v="2024-10-21T00:00:00"/>
        <d v="2024-10-16T00:00:00"/>
        <d v="2025-06-02T00:00:00"/>
        <d v="2024-01-14T00:00:00"/>
        <d v="2024-02-19T00:00:00"/>
        <d v="2024-05-22T00:00:00"/>
        <d v="2025-09-06T00:00:00"/>
        <d v="2025-06-22T00:00:00"/>
        <d v="2024-02-03T00:00:00"/>
        <d v="2024-08-09T00:00:00"/>
        <d v="2024-10-06T00:00:00"/>
        <d v="2025-09-05T00:00:00"/>
        <d v="2024-03-06T00:00:00"/>
        <d v="2025-08-19T00:00:00"/>
        <d v="2025-02-21T00:00:00"/>
        <d v="2024-11-10T00:00:00"/>
        <d v="2024-04-09T00:00:00"/>
        <d v="2024-05-25T00:00:00"/>
        <d v="2025-04-12T00:00:00"/>
        <d v="2024-01-22T00:00:00"/>
        <d v="2025-06-26T00:00:00"/>
        <d v="2025-05-19T00:00:00"/>
        <d v="2023-11-21T00:00:00"/>
        <d v="2024-06-11T00:00:00"/>
        <d v="2025-04-23T00:00:00"/>
        <d v="2024-10-03T00:00:00"/>
        <d v="2024-03-10T00:00:00"/>
        <d v="2025-01-10T00:00:00"/>
        <d v="2023-12-13T00:00:00"/>
        <d v="2025-08-23T00:00:00"/>
        <d v="2025-03-02T00:00:00"/>
        <d v="2024-04-03T00:00:00"/>
        <d v="2024-08-08T00:00:00"/>
        <d v="2024-09-08T00:00:00"/>
        <d v="2024-01-01T00:00:00"/>
        <d v="2024-05-03T00:00:00"/>
        <d v="2024-08-20T00:00:00"/>
        <d v="2024-01-09T00:00:00"/>
        <d v="2025-03-31T00:00:00"/>
        <d v="2025-02-01T00:00:00"/>
        <d v="2023-12-19T00:00:00"/>
        <d v="2025-03-13T00:00:00"/>
        <d v="2025-05-28T00:00:00"/>
        <d v="2024-11-19T00:00:00"/>
        <d v="2024-02-28T00:00:00"/>
        <d v="2025-05-25T00:00:00"/>
        <d v="2025-08-06T00:00:00"/>
        <d v="2025-01-21T00:00:00"/>
        <d v="2025-05-27T00:00:00"/>
        <d v="2023-10-14T00:00:00"/>
        <d v="2024-04-16T00:00:00"/>
        <d v="2024-05-15T00:00:00"/>
        <d v="2023-10-20T00:00:00"/>
        <d v="2025-06-07T00:00:00"/>
        <d v="2024-06-18T00:00:00"/>
        <d v="2025-04-24T00:00:00"/>
        <d v="2025-09-03T00:00:00"/>
        <d v="2025-02-02T00:00:00"/>
        <d v="2025-06-15T00:00:00"/>
        <d v="2024-04-12T00:00:00"/>
        <d v="2025-06-10T00:00:00"/>
        <d v="2024-05-02T00:00:00"/>
        <d v="2024-11-26T00:00:00"/>
        <d v="2024-04-25T00:00:00"/>
        <d v="2024-06-04T00:00:00"/>
        <d v="2025-03-23T00:00:00"/>
        <d v="2025-06-14T00:00:00"/>
        <d v="2024-02-02T00:00:00"/>
        <d v="2025-06-11T00:00:00"/>
        <d v="2024-07-18T00:00:00"/>
        <d v="2024-10-29T00:00:00"/>
        <d v="2024-03-11T00:00:00"/>
        <d v="2024-10-02T00:00:00"/>
        <d v="2024-11-09T00:00:00"/>
        <d v="2024-05-31T00:00:00"/>
        <d v="2024-01-25T00:00:00"/>
        <d v="2025-03-28T00:00:00"/>
        <d v="2024-11-14T00:00:00"/>
        <d v="2024-01-12T00:00:00"/>
        <d v="2025-05-20T00:00:00"/>
        <d v="2024-03-18T00:00:00"/>
        <d v="2025-03-04T00:00:00"/>
        <d v="2024-05-18T00:00:00"/>
        <d v="2024-06-29T00:00:00"/>
        <d v="2023-10-23T00:00:00"/>
        <d v="2024-12-22T00:00:00"/>
        <d v="2025-07-30T00:00:00"/>
        <d v="2023-09-12T00:00:00"/>
        <d v="2024-07-05T00:00:00"/>
        <d v="2024-09-14T00:00:00"/>
        <d v="2024-07-19T00:00:00"/>
        <d v="2025-02-16T00:00:00"/>
        <d v="2025-03-05T00:00:00"/>
        <d v="2023-09-19T00:00:00"/>
        <d v="2024-09-09T00:00:00"/>
        <d v="2025-01-26T00:00:00"/>
        <d v="2023-09-10T00:00:00"/>
        <d v="2025-06-29T00:00:00"/>
        <d v="2024-03-27T00:00:00"/>
        <d v="2024-02-25T00:00:00"/>
        <d v="2024-10-15T00:00:00"/>
        <d v="2023-12-20T00:00:00"/>
        <d v="2023-09-11T00:00:00"/>
        <d v="2025-04-08T00:00:00"/>
        <d v="2024-04-20T00:00:00"/>
        <d v="2024-04-08T00:00:00"/>
        <d v="2025-06-27T00:00:00"/>
        <d v="2025-03-22T00:00:00"/>
        <d v="2025-05-16T00:00:00"/>
        <d v="2024-08-12T00:00:00"/>
        <d v="2024-10-10T00:00:00"/>
        <d v="2025-07-21T00:00:00"/>
        <d v="2025-02-03T00:00:00"/>
        <d v="2024-12-24T00:00:00"/>
        <d v="2024-04-11T00:00:00"/>
        <d v="2024-11-21T00:00:00"/>
        <d v="2023-12-14T00:00:00"/>
        <d v="2024-07-03T00:00:00"/>
        <d v="2024-12-21T00:00:00"/>
        <d v="2025-02-18T00:00:00"/>
        <d v="2024-01-31T00:00:00"/>
        <d v="2025-04-11T00:00:00"/>
        <d v="2025-04-17T00:00:00"/>
        <d v="2023-11-14T00:00:00"/>
        <d v="2024-07-09T00:00:00"/>
        <d v="2023-11-15T00:00:00"/>
        <d v="2025-07-18T00:00:00"/>
        <d v="2024-03-07T00:00:00"/>
        <d v="2025-08-13T00:00:00"/>
        <d v="2024-07-20T00:00:00"/>
        <d v="2024-05-05T00:00:00"/>
        <d v="2025-02-14T00:00:00"/>
        <d v="2024-09-07T00:00:00"/>
        <d v="2025-06-28T00:00:00"/>
        <d v="2024-02-18T00:00:00"/>
        <d v="2025-05-07T00:00:00"/>
        <d v="2025-01-30T00:00:00"/>
        <d v="2025-07-11T00:00:00"/>
        <d v="2025-02-28T00:00:00"/>
        <d v="2025-07-24T00:00:00"/>
        <d v="2025-05-30T00:00:00"/>
        <d v="2024-11-08T00:00:00"/>
        <d v="2023-10-08T00:00:00"/>
        <d v="2024-10-23T00:00:00"/>
        <d v="2023-12-26T00:00:00"/>
        <d v="2024-09-20T00:00:00"/>
        <d v="2023-10-10T00:00:00"/>
        <d v="2023-11-28T00:00:00"/>
        <d v="2023-12-31T00:00:00"/>
        <d v="2025-06-05T00:00:00"/>
        <d v="2025-07-05T00:00:00"/>
        <d v="2025-04-25T00:00:00"/>
        <d v="2024-05-13T00:00:00"/>
        <d v="2025-05-11T00:00:00"/>
        <d v="2024-06-14T00:00:00"/>
        <d v="2025-05-13T00:00:00"/>
        <d v="2023-11-01T00:00:00"/>
        <d v="2024-02-12T00:00:00"/>
        <d v="2023-12-15T00:00:00"/>
        <d v="2024-08-31T00:00:00"/>
        <d v="2023-10-06T00:00:00"/>
        <d v="2024-02-13T00:00:00"/>
        <d v="2023-10-31T00:00:00"/>
        <d v="2025-04-09T00:00:00"/>
        <d v="2024-09-25T00:00:00"/>
        <d v="2024-07-30T00:00:00"/>
        <d v="2025-07-28T00:00:00"/>
        <d v="2025-07-02T00:00:00"/>
        <d v="2024-12-10T00:00:00"/>
        <d v="2025-07-15T00:00:00"/>
        <d v="2025-04-22T00:00:00"/>
        <d v="2024-03-28T00:00:00"/>
        <d v="2025-07-31T00:00:00"/>
        <d v="2025-03-27T00:00:00"/>
        <d v="2024-09-12T00:00:00"/>
        <d v="2023-09-24T00:00:00"/>
        <d v="2024-09-01T00:00:00"/>
        <d v="2024-05-26T00:00:00"/>
        <d v="2024-10-04T00:00:00"/>
        <d v="2024-02-15T00:00:00"/>
        <d v="2023-09-17T00:00:00"/>
        <d v="2023-12-30T00:00:00"/>
        <d v="2024-10-12T00:00:00"/>
        <d v="2023-09-27T00:00:00"/>
        <d v="2024-01-04T00:00:00"/>
        <d v="2025-03-30T00:00:00"/>
        <d v="2023-10-09T00:00:00"/>
        <d v="2025-07-13T00:00:00"/>
        <d v="2024-02-08T00:00:00"/>
        <d v="2025-02-24T00:00:00"/>
        <d v="2024-05-09T00:00:00"/>
        <d v="2024-03-24T00:00:00"/>
        <d v="2024-11-02T00:00:00"/>
        <d v="2024-04-29T00:00:00"/>
        <d v="2024-12-28T00:00:00"/>
        <d v="2025-04-01T00:00:00"/>
        <d v="2024-05-30T00:00:00"/>
        <d v="2024-09-27T00:00:00"/>
        <d v="2023-10-21T00:00:00"/>
        <d v="2025-08-18T00:00:00"/>
        <d v="2025-08-22T00:00:00"/>
        <d v="2024-11-28T00:00:00"/>
        <d v="2024-03-31T00:00:00"/>
        <d v="2024-08-24T00:00:00"/>
        <d v="2024-09-13T00:00:00"/>
        <d v="2024-03-08T00:00:00"/>
        <d v="2024-01-06T00:00:00"/>
        <d v="2023-09-16T00:00:00"/>
        <d v="2023-11-02T00:00:00"/>
        <d v="2025-08-31T00:00:00"/>
        <d v="2025-06-01T00:00:00"/>
        <d v="2025-05-01T00:00:00"/>
        <d v="2024-03-05T00:00:00"/>
        <d v="2025-01-25T00:00:00"/>
        <d v="2024-09-17T00:00:00"/>
        <d v="2024-01-29T00:00:00"/>
        <d v="2025-03-08T00:00:00"/>
        <d v="2024-08-18T00:00:00"/>
        <d v="2025-01-19T00:00:00"/>
        <d v="2024-06-06T00:00:00"/>
        <d v="2024-08-25T00:00:00"/>
        <d v="2024-08-03T00:00:00"/>
        <d v="2024-07-14T00:00:00"/>
        <d v="2023-11-29T00:00:00"/>
        <d v="2024-03-15T00:00:00"/>
        <d v="2025-08-25T00:00:00"/>
        <d v="2024-12-04T00:00:00"/>
        <d v="2024-01-08T00:00:00"/>
        <d v="2025-07-22T00:00:00"/>
        <d v="2024-09-24T00:00:00"/>
        <d v="2023-10-16T00:00:00"/>
        <d v="2025-09-04T00:00:00"/>
        <d v="2025-02-23T00:00:00"/>
        <d v="2025-05-03T00:00:00"/>
        <d v="2025-05-02T00:00:00"/>
        <d v="2024-05-21T00:00:00"/>
        <d v="2024-05-28T00:00:00"/>
        <d v="2024-11-29T00:00:00"/>
        <d v="2025-03-26T00:00:00"/>
        <d v="2023-11-23T00:00:00"/>
        <d v="2025-04-21T00:00:00"/>
        <d v="2023-10-29T00:00:00"/>
        <d v="2025-02-05T00:00:00"/>
        <d v="2024-08-27T00:00:00"/>
        <d v="2024-04-06T00:00:00"/>
        <d v="2025-01-29T00:00:00"/>
        <d v="2024-05-01T00:00:00"/>
        <d v="2024-12-14T00:00:00"/>
        <d v="2024-11-03T00:00:00"/>
        <d v="2025-02-11T00:00:00"/>
        <d v="2023-11-03T00:00:00"/>
        <d v="2025-07-03T00:00:00"/>
        <d v="2024-06-05T00:00:00"/>
        <d v="2025-07-17T00:00:00"/>
        <d v="2025-07-07T00:00:00"/>
        <d v="2024-08-02T00:00:00"/>
        <d v="2024-12-03T00:00:00"/>
        <d v="2024-06-24T00:00:00"/>
        <d v="2025-09-01T00:00:00"/>
        <d v="2025-08-02T00:00:00"/>
        <d v="2024-07-12T00:00:00"/>
        <d v="2025-08-21T00:00:00"/>
        <d v="2025-04-03T00:00:00"/>
        <d v="2025-03-03T00:00:00"/>
        <d v="2025-01-28T00:00:00"/>
        <d v="2023-12-07T00:00:00"/>
        <d v="2024-12-07T00:00:00"/>
        <d v="2025-02-26T00:00:00"/>
        <d v="2024-04-10T00:00:00"/>
        <d v="2023-09-21T00:00:00"/>
        <d v="2024-05-08T00:00:00"/>
        <d v="2024-01-23T00:00:00"/>
        <d v="2023-10-05T00:00:00"/>
        <d v="2024-08-30T00:00:00"/>
        <d v="2024-10-31T00:00:00"/>
        <d v="2023-11-05T00:00:00"/>
        <d v="2024-01-03T00:00:00"/>
        <d v="2024-08-23T00:00:00"/>
        <d v="2025-01-15T00:00:00"/>
        <d v="2025-07-19T00:00:00"/>
        <d v="2023-09-22T00:00:00"/>
        <d v="2024-11-25T00:00:00"/>
        <d v="2025-08-14T00:00:00"/>
        <d v="2025-01-01T00:00:00"/>
        <d v="2024-07-02T00:00:00"/>
        <d v="2024-02-26T00:00:00"/>
        <d v="2023-12-22T00:00:00"/>
        <d v="2025-03-07T00:00:00"/>
        <d v="2024-10-13T00:00:00"/>
        <d v="2024-04-26T00:00:00"/>
        <d v="2025-08-03T00:00:00"/>
        <d v="2024-09-03T00:00:00"/>
        <d v="2025-07-08T00:00:00"/>
        <d v="2024-03-19T00:00:00"/>
        <d v="2024-01-21T00:00:00"/>
        <d v="2024-11-15T00:00:00"/>
        <d v="2025-01-02T00:00:00"/>
      </sharedItems>
      <fieldGroup par="13"/>
    </cacheField>
    <cacheField name="Provincia" numFmtId="0">
      <sharedItems count="24">
        <s v="Palma"/>
        <s v="Vitoria"/>
        <s v="Granada"/>
        <s v="Córdoba"/>
        <s v="Hospitalet"/>
        <s v="Madrid"/>
        <s v="Bilbao"/>
        <s v="Oviedo"/>
        <s v="Gijón"/>
        <s v="Salamanca"/>
        <s v="Valencia"/>
        <s v="Barcelona"/>
        <s v="La Coruña"/>
        <s v="Málaga"/>
        <s v="Santander"/>
        <s v="Toledo"/>
        <s v="Pamplona"/>
        <s v="Murcia"/>
        <s v="Vigo"/>
        <s v="Zaragoza"/>
        <s v="Sevilla"/>
        <s v="Valladolid"/>
        <s v="Alicante"/>
        <s v="Elche"/>
      </sharedItems>
    </cacheField>
    <cacheField name="Total Gastado" numFmtId="44">
      <sharedItems containsSemiMixedTypes="0" containsString="0" containsNumber="1" minValue="10.27" maxValue="1996.43"/>
    </cacheField>
    <cacheField name="Estado Pedido" numFmtId="0">
      <sharedItems count="3">
        <s v="Entregado"/>
        <s v="En Proceso"/>
        <s v="Devuelto"/>
      </sharedItems>
    </cacheField>
    <cacheField name="Tallaje" numFmtId="0">
      <sharedItems count="6">
        <s v="L"/>
        <s v="S"/>
        <s v="XS"/>
        <s v="M"/>
        <s v="XL"/>
        <s v="XXL"/>
      </sharedItems>
    </cacheField>
    <cacheField name="Tipo Compra (Online o Tienda Física)" numFmtId="0">
      <sharedItems count="2">
        <s v="Online"/>
        <s v="Tienda Física"/>
      </sharedItems>
    </cacheField>
    <cacheField name="Meses (Fecha (EU))" numFmtId="0" databaseField="0">
      <fieldGroup base="5">
        <rangePr groupBy="months" startDate="2023-09-10T00:00:00" endDate="2025-09-10T00:00:00"/>
        <groupItems count="14">
          <s v="&lt;10/09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0/09/2025"/>
        </groupItems>
      </fieldGroup>
    </cacheField>
    <cacheField name="Trimestres (Fecha (EU))" numFmtId="0" databaseField="0">
      <fieldGroup base="5">
        <rangePr groupBy="quarters" startDate="2023-09-10T00:00:00" endDate="2025-09-10T00:00:00"/>
        <groupItems count="6">
          <s v="&lt;10/09/2023"/>
          <s v="Trim.1"/>
          <s v="Trim.2"/>
          <s v="Trim.3"/>
          <s v="Trim.4"/>
          <s v="&gt;10/09/2025"/>
        </groupItems>
      </fieldGroup>
    </cacheField>
    <cacheField name="Años (Fecha (EU))" numFmtId="0" databaseField="0">
      <fieldGroup base="5">
        <rangePr groupBy="years" startDate="2023-09-10T00:00:00" endDate="2025-09-10T00:00:00"/>
        <groupItems count="5">
          <s v="&lt;10/09/2023"/>
          <s v="2023"/>
          <s v="2024"/>
          <s v="2025"/>
          <s v="&gt;10/09/2025"/>
        </groupItems>
      </fieldGroup>
    </cacheField>
  </cacheFields>
  <extLst>
    <ext xmlns:x14="http://schemas.microsoft.com/office/spreadsheetml/2009/9/main" uri="{725AE2AE-9491-48be-B2B4-4EB974FC3084}">
      <x14:pivotCacheDefinition pivotCacheId="204153827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s v="Heliodoro"/>
    <x v="0"/>
    <n v="635181298"/>
    <x v="0"/>
    <x v="0"/>
    <x v="0"/>
    <n v="32.04"/>
    <x v="0"/>
    <x v="0"/>
    <x v="0"/>
  </r>
  <r>
    <x v="1"/>
    <s v="Román"/>
    <x v="1"/>
    <n v="704413195"/>
    <x v="1"/>
    <x v="1"/>
    <x v="1"/>
    <n v="203.4"/>
    <x v="0"/>
    <x v="0"/>
    <x v="0"/>
  </r>
  <r>
    <x v="2"/>
    <s v="Lupe"/>
    <x v="2"/>
    <n v="714510122"/>
    <x v="0"/>
    <x v="2"/>
    <x v="2"/>
    <n v="1625.32"/>
    <x v="0"/>
    <x v="1"/>
    <x v="0"/>
  </r>
  <r>
    <x v="3"/>
    <s v="Basilio"/>
    <x v="3"/>
    <n v="720443658"/>
    <x v="0"/>
    <x v="3"/>
    <x v="3"/>
    <n v="1213.19"/>
    <x v="0"/>
    <x v="2"/>
    <x v="0"/>
  </r>
  <r>
    <x v="4"/>
    <s v="Manuel"/>
    <x v="4"/>
    <n v="722114878"/>
    <x v="0"/>
    <x v="4"/>
    <x v="4"/>
    <n v="784.47"/>
    <x v="0"/>
    <x v="2"/>
    <x v="0"/>
  </r>
  <r>
    <x v="5"/>
    <s v="Goyo"/>
    <x v="5"/>
    <n v="733868257"/>
    <x v="1"/>
    <x v="5"/>
    <x v="1"/>
    <n v="1538.52"/>
    <x v="0"/>
    <x v="3"/>
    <x v="1"/>
  </r>
  <r>
    <x v="6"/>
    <s v="Alejandro"/>
    <x v="6"/>
    <n v="667286044"/>
    <x v="1"/>
    <x v="6"/>
    <x v="5"/>
    <n v="513.72"/>
    <x v="0"/>
    <x v="3"/>
    <x v="0"/>
  </r>
  <r>
    <x v="7"/>
    <s v="Primitiva"/>
    <x v="7"/>
    <n v="681249637"/>
    <x v="2"/>
    <x v="7"/>
    <x v="2"/>
    <n v="209.85"/>
    <x v="0"/>
    <x v="1"/>
    <x v="1"/>
  </r>
  <r>
    <x v="8"/>
    <s v="Mar"/>
    <x v="8"/>
    <n v="819579385"/>
    <x v="0"/>
    <x v="1"/>
    <x v="5"/>
    <n v="536.20000000000005"/>
    <x v="0"/>
    <x v="2"/>
    <x v="0"/>
  </r>
  <r>
    <x v="9"/>
    <s v="Laura"/>
    <x v="9"/>
    <n v="735998025"/>
    <x v="0"/>
    <x v="8"/>
    <x v="6"/>
    <n v="700.62"/>
    <x v="0"/>
    <x v="2"/>
    <x v="0"/>
  </r>
  <r>
    <x v="10"/>
    <s v="Samanta"/>
    <x v="10"/>
    <n v="740994031"/>
    <x v="1"/>
    <x v="9"/>
    <x v="4"/>
    <n v="836.24"/>
    <x v="0"/>
    <x v="0"/>
    <x v="0"/>
  </r>
  <r>
    <x v="11"/>
    <s v="Plácido"/>
    <x v="11"/>
    <n v="806023701"/>
    <x v="0"/>
    <x v="10"/>
    <x v="6"/>
    <n v="492.61"/>
    <x v="0"/>
    <x v="2"/>
    <x v="1"/>
  </r>
  <r>
    <x v="12"/>
    <s v="Custodia"/>
    <x v="12"/>
    <n v="734311637"/>
    <x v="0"/>
    <x v="11"/>
    <x v="7"/>
    <n v="22.01"/>
    <x v="0"/>
    <x v="2"/>
    <x v="1"/>
  </r>
  <r>
    <x v="13"/>
    <s v="Roque"/>
    <x v="13"/>
    <n v="667768968"/>
    <x v="0"/>
    <x v="12"/>
    <x v="8"/>
    <n v="296.07"/>
    <x v="1"/>
    <x v="1"/>
    <x v="1"/>
  </r>
  <r>
    <x v="14"/>
    <s v="Eduardo"/>
    <x v="14"/>
    <n v="720435143"/>
    <x v="0"/>
    <x v="13"/>
    <x v="5"/>
    <n v="1374.6"/>
    <x v="0"/>
    <x v="2"/>
    <x v="1"/>
  </r>
  <r>
    <x v="15"/>
    <s v="Amaya"/>
    <x v="15"/>
    <n v="870185749"/>
    <x v="0"/>
    <x v="14"/>
    <x v="2"/>
    <n v="1590.54"/>
    <x v="0"/>
    <x v="0"/>
    <x v="0"/>
  </r>
  <r>
    <x v="16"/>
    <s v="Belén"/>
    <x v="16"/>
    <n v="739522597"/>
    <x v="0"/>
    <x v="15"/>
    <x v="9"/>
    <n v="101.55"/>
    <x v="0"/>
    <x v="3"/>
    <x v="0"/>
  </r>
  <r>
    <x v="17"/>
    <s v="Graciano"/>
    <x v="17"/>
    <n v="916052353"/>
    <x v="2"/>
    <x v="16"/>
    <x v="10"/>
    <n v="1777.79"/>
    <x v="0"/>
    <x v="1"/>
    <x v="0"/>
  </r>
  <r>
    <x v="18"/>
    <s v="Carmina"/>
    <x v="18"/>
    <n v="879596240"/>
    <x v="2"/>
    <x v="17"/>
    <x v="3"/>
    <n v="1738.35"/>
    <x v="0"/>
    <x v="4"/>
    <x v="1"/>
  </r>
  <r>
    <x v="19"/>
    <s v="Che"/>
    <x v="19"/>
    <n v="719563621"/>
    <x v="1"/>
    <x v="18"/>
    <x v="11"/>
    <n v="1937.81"/>
    <x v="0"/>
    <x v="5"/>
    <x v="0"/>
  </r>
  <r>
    <x v="20"/>
    <s v="Leticia"/>
    <x v="20"/>
    <n v="747259283"/>
    <x v="0"/>
    <x v="19"/>
    <x v="12"/>
    <n v="451.59"/>
    <x v="0"/>
    <x v="5"/>
    <x v="1"/>
  </r>
  <r>
    <x v="21"/>
    <s v="Jose Antonio"/>
    <x v="21"/>
    <n v="611493591"/>
    <x v="1"/>
    <x v="20"/>
    <x v="9"/>
    <n v="571.4"/>
    <x v="0"/>
    <x v="1"/>
    <x v="1"/>
  </r>
  <r>
    <x v="22"/>
    <s v="Ale"/>
    <x v="22"/>
    <n v="722994048"/>
    <x v="0"/>
    <x v="21"/>
    <x v="7"/>
    <n v="339.74"/>
    <x v="0"/>
    <x v="3"/>
    <x v="1"/>
  </r>
  <r>
    <x v="23"/>
    <s v="Maricela"/>
    <x v="23"/>
    <n v="740369847"/>
    <x v="1"/>
    <x v="22"/>
    <x v="9"/>
    <n v="1695.8"/>
    <x v="0"/>
    <x v="3"/>
    <x v="0"/>
  </r>
  <r>
    <x v="24"/>
    <s v="Reynaldo"/>
    <x v="24"/>
    <n v="735061596"/>
    <x v="1"/>
    <x v="23"/>
    <x v="4"/>
    <n v="1990.17"/>
    <x v="0"/>
    <x v="3"/>
    <x v="0"/>
  </r>
  <r>
    <x v="25"/>
    <s v="Marcelo"/>
    <x v="25"/>
    <n v="742924464"/>
    <x v="1"/>
    <x v="24"/>
    <x v="8"/>
    <n v="956.9"/>
    <x v="0"/>
    <x v="3"/>
    <x v="0"/>
  </r>
  <r>
    <x v="26"/>
    <s v="Isaías"/>
    <x v="26"/>
    <n v="892859188"/>
    <x v="0"/>
    <x v="25"/>
    <x v="13"/>
    <n v="1305.02"/>
    <x v="0"/>
    <x v="3"/>
    <x v="1"/>
  </r>
  <r>
    <x v="27"/>
    <s v="Maite"/>
    <x v="27"/>
    <n v="723510058"/>
    <x v="1"/>
    <x v="26"/>
    <x v="14"/>
    <n v="978.62"/>
    <x v="1"/>
    <x v="5"/>
    <x v="1"/>
  </r>
  <r>
    <x v="28"/>
    <s v="Pepito"/>
    <x v="28"/>
    <n v="982589898"/>
    <x v="1"/>
    <x v="27"/>
    <x v="15"/>
    <n v="145.75"/>
    <x v="0"/>
    <x v="1"/>
    <x v="0"/>
  </r>
  <r>
    <x v="29"/>
    <s v="Sebastián"/>
    <x v="29"/>
    <n v="727899933"/>
    <x v="1"/>
    <x v="28"/>
    <x v="8"/>
    <n v="581.76"/>
    <x v="0"/>
    <x v="0"/>
    <x v="1"/>
  </r>
  <r>
    <x v="30"/>
    <s v="Florentino"/>
    <x v="30"/>
    <n v="951987392"/>
    <x v="0"/>
    <x v="29"/>
    <x v="7"/>
    <n v="1908.67"/>
    <x v="0"/>
    <x v="3"/>
    <x v="0"/>
  </r>
  <r>
    <x v="31"/>
    <s v="Hugo"/>
    <x v="31"/>
    <n v="826663368"/>
    <x v="1"/>
    <x v="30"/>
    <x v="1"/>
    <n v="918.37"/>
    <x v="0"/>
    <x v="3"/>
    <x v="1"/>
  </r>
  <r>
    <x v="32"/>
    <s v="Concha"/>
    <x v="32"/>
    <n v="744875696"/>
    <x v="2"/>
    <x v="31"/>
    <x v="10"/>
    <n v="1935.59"/>
    <x v="0"/>
    <x v="3"/>
    <x v="1"/>
  </r>
  <r>
    <x v="33"/>
    <s v="Yaiza"/>
    <x v="33"/>
    <n v="813853467"/>
    <x v="0"/>
    <x v="32"/>
    <x v="13"/>
    <n v="1151.19"/>
    <x v="0"/>
    <x v="3"/>
    <x v="1"/>
  </r>
  <r>
    <x v="34"/>
    <s v="Verónica"/>
    <x v="34"/>
    <n v="806812397"/>
    <x v="1"/>
    <x v="33"/>
    <x v="1"/>
    <n v="41.44"/>
    <x v="0"/>
    <x v="3"/>
    <x v="0"/>
  </r>
  <r>
    <x v="35"/>
    <s v="Álvaro"/>
    <x v="35"/>
    <n v="888046669"/>
    <x v="1"/>
    <x v="34"/>
    <x v="8"/>
    <n v="759.02"/>
    <x v="1"/>
    <x v="4"/>
    <x v="1"/>
  </r>
  <r>
    <x v="36"/>
    <s v="Paulino"/>
    <x v="36"/>
    <n v="714200847"/>
    <x v="0"/>
    <x v="1"/>
    <x v="11"/>
    <n v="26.13"/>
    <x v="0"/>
    <x v="1"/>
    <x v="0"/>
  </r>
  <r>
    <x v="37"/>
    <s v="Ximena"/>
    <x v="37"/>
    <n v="702426757"/>
    <x v="2"/>
    <x v="35"/>
    <x v="10"/>
    <n v="1319.21"/>
    <x v="0"/>
    <x v="1"/>
    <x v="0"/>
  </r>
  <r>
    <x v="38"/>
    <s v="Eligio"/>
    <x v="38"/>
    <n v="706332747"/>
    <x v="0"/>
    <x v="6"/>
    <x v="1"/>
    <n v="110.96"/>
    <x v="0"/>
    <x v="2"/>
    <x v="0"/>
  </r>
  <r>
    <x v="39"/>
    <s v="Pepe"/>
    <x v="39"/>
    <n v="700258650"/>
    <x v="0"/>
    <x v="36"/>
    <x v="0"/>
    <n v="1149.54"/>
    <x v="0"/>
    <x v="3"/>
    <x v="0"/>
  </r>
  <r>
    <x v="40"/>
    <s v="Elvira"/>
    <x v="40"/>
    <n v="731725140"/>
    <x v="0"/>
    <x v="37"/>
    <x v="1"/>
    <n v="140.46"/>
    <x v="0"/>
    <x v="2"/>
    <x v="0"/>
  </r>
  <r>
    <x v="41"/>
    <s v="Jaime"/>
    <x v="41"/>
    <n v="733805530"/>
    <x v="1"/>
    <x v="38"/>
    <x v="16"/>
    <n v="481.16"/>
    <x v="2"/>
    <x v="0"/>
    <x v="1"/>
  </r>
  <r>
    <x v="42"/>
    <s v="Julio César"/>
    <x v="42"/>
    <n v="628214825"/>
    <x v="0"/>
    <x v="39"/>
    <x v="6"/>
    <n v="1850.84"/>
    <x v="0"/>
    <x v="2"/>
    <x v="0"/>
  </r>
  <r>
    <x v="43"/>
    <s v="Xiomara"/>
    <x v="43"/>
    <n v="965928716"/>
    <x v="0"/>
    <x v="40"/>
    <x v="5"/>
    <n v="1027.32"/>
    <x v="0"/>
    <x v="1"/>
    <x v="0"/>
  </r>
  <r>
    <x v="44"/>
    <s v="Régulo"/>
    <x v="44"/>
    <n v="739667567"/>
    <x v="0"/>
    <x v="41"/>
    <x v="17"/>
    <n v="1309.73"/>
    <x v="0"/>
    <x v="3"/>
    <x v="0"/>
  </r>
  <r>
    <x v="45"/>
    <s v="Maxi"/>
    <x v="45"/>
    <n v="726799934"/>
    <x v="1"/>
    <x v="42"/>
    <x v="7"/>
    <n v="230.7"/>
    <x v="0"/>
    <x v="3"/>
    <x v="0"/>
  </r>
  <r>
    <x v="46"/>
    <s v="Lucio"/>
    <x v="46"/>
    <n v="725414927"/>
    <x v="0"/>
    <x v="43"/>
    <x v="18"/>
    <n v="1638.16"/>
    <x v="0"/>
    <x v="1"/>
    <x v="1"/>
  </r>
  <r>
    <x v="47"/>
    <s v="Nicodemo"/>
    <x v="47"/>
    <n v="706921192"/>
    <x v="2"/>
    <x v="44"/>
    <x v="19"/>
    <n v="1368.23"/>
    <x v="1"/>
    <x v="3"/>
    <x v="1"/>
  </r>
  <r>
    <x v="48"/>
    <s v="Flavia"/>
    <x v="48"/>
    <n v="705389520"/>
    <x v="2"/>
    <x v="45"/>
    <x v="6"/>
    <n v="185.81"/>
    <x v="0"/>
    <x v="2"/>
    <x v="0"/>
  </r>
  <r>
    <x v="49"/>
    <s v="Priscila"/>
    <x v="49"/>
    <n v="708646101"/>
    <x v="0"/>
    <x v="46"/>
    <x v="0"/>
    <n v="1180.5999999999999"/>
    <x v="0"/>
    <x v="0"/>
    <x v="0"/>
  </r>
  <r>
    <x v="50"/>
    <s v="Brunilda"/>
    <x v="50"/>
    <n v="715742102"/>
    <x v="0"/>
    <x v="47"/>
    <x v="6"/>
    <n v="887.97"/>
    <x v="0"/>
    <x v="1"/>
    <x v="0"/>
  </r>
  <r>
    <x v="51"/>
    <s v="Joel"/>
    <x v="51"/>
    <n v="737972549"/>
    <x v="1"/>
    <x v="48"/>
    <x v="11"/>
    <n v="1355.46"/>
    <x v="0"/>
    <x v="3"/>
    <x v="0"/>
  </r>
  <r>
    <x v="52"/>
    <s v="Poncio"/>
    <x v="52"/>
    <n v="699922916"/>
    <x v="0"/>
    <x v="49"/>
    <x v="20"/>
    <n v="173.01"/>
    <x v="0"/>
    <x v="1"/>
    <x v="0"/>
  </r>
  <r>
    <x v="53"/>
    <s v="Eufemia"/>
    <x v="53"/>
    <n v="859966448"/>
    <x v="1"/>
    <x v="50"/>
    <x v="11"/>
    <n v="1223.6099999999999"/>
    <x v="2"/>
    <x v="2"/>
    <x v="0"/>
  </r>
  <r>
    <x v="54"/>
    <s v="Pascual"/>
    <x v="54"/>
    <n v="743862708"/>
    <x v="0"/>
    <x v="51"/>
    <x v="8"/>
    <n v="1469.34"/>
    <x v="1"/>
    <x v="1"/>
    <x v="0"/>
  </r>
  <r>
    <x v="55"/>
    <s v="Lino"/>
    <x v="55"/>
    <n v="743293622"/>
    <x v="0"/>
    <x v="52"/>
    <x v="19"/>
    <n v="1165.26"/>
    <x v="0"/>
    <x v="2"/>
    <x v="0"/>
  </r>
  <r>
    <x v="56"/>
    <s v="Reyna"/>
    <x v="56"/>
    <n v="924955027"/>
    <x v="0"/>
    <x v="53"/>
    <x v="2"/>
    <n v="1737.03"/>
    <x v="0"/>
    <x v="2"/>
    <x v="0"/>
  </r>
  <r>
    <x v="57"/>
    <s v="Felix"/>
    <x v="57"/>
    <n v="863311909"/>
    <x v="0"/>
    <x v="54"/>
    <x v="7"/>
    <n v="360.73"/>
    <x v="0"/>
    <x v="2"/>
    <x v="0"/>
  </r>
  <r>
    <x v="58"/>
    <s v="Clarisa"/>
    <x v="58"/>
    <n v="705986638"/>
    <x v="0"/>
    <x v="55"/>
    <x v="10"/>
    <n v="1619.05"/>
    <x v="0"/>
    <x v="2"/>
    <x v="1"/>
  </r>
  <r>
    <x v="59"/>
    <s v="Clemente"/>
    <x v="59"/>
    <n v="744517295"/>
    <x v="1"/>
    <x v="56"/>
    <x v="7"/>
    <n v="1858.18"/>
    <x v="0"/>
    <x v="0"/>
    <x v="0"/>
  </r>
  <r>
    <x v="60"/>
    <s v="Quirino"/>
    <x v="60"/>
    <n v="739112559"/>
    <x v="0"/>
    <x v="57"/>
    <x v="8"/>
    <n v="484.69"/>
    <x v="0"/>
    <x v="3"/>
    <x v="0"/>
  </r>
  <r>
    <x v="61"/>
    <s v="José Ángel"/>
    <x v="61"/>
    <n v="748347564"/>
    <x v="1"/>
    <x v="58"/>
    <x v="4"/>
    <n v="343.95"/>
    <x v="0"/>
    <x v="3"/>
    <x v="1"/>
  </r>
  <r>
    <x v="62"/>
    <s v="Jesusa"/>
    <x v="62"/>
    <n v="948373777"/>
    <x v="0"/>
    <x v="59"/>
    <x v="16"/>
    <n v="1996.43"/>
    <x v="0"/>
    <x v="2"/>
    <x v="1"/>
  </r>
  <r>
    <x v="63"/>
    <s v="Susana"/>
    <x v="63"/>
    <n v="907654118"/>
    <x v="0"/>
    <x v="60"/>
    <x v="4"/>
    <n v="1395.44"/>
    <x v="0"/>
    <x v="2"/>
    <x v="0"/>
  </r>
  <r>
    <x v="64"/>
    <s v="Julie"/>
    <x v="64"/>
    <n v="706050514"/>
    <x v="0"/>
    <x v="61"/>
    <x v="10"/>
    <n v="1061.8599999999999"/>
    <x v="0"/>
    <x v="0"/>
    <x v="1"/>
  </r>
  <r>
    <x v="65"/>
    <s v="Amado"/>
    <x v="65"/>
    <n v="997739940"/>
    <x v="1"/>
    <x v="62"/>
    <x v="2"/>
    <n v="877.86"/>
    <x v="0"/>
    <x v="3"/>
    <x v="1"/>
  </r>
  <r>
    <x v="66"/>
    <s v="Marcelino"/>
    <x v="66"/>
    <n v="719919620"/>
    <x v="0"/>
    <x v="63"/>
    <x v="15"/>
    <n v="610.34"/>
    <x v="0"/>
    <x v="1"/>
    <x v="0"/>
  </r>
  <r>
    <x v="67"/>
    <s v="Bernarda"/>
    <x v="67"/>
    <n v="747410141"/>
    <x v="0"/>
    <x v="64"/>
    <x v="2"/>
    <n v="85.43"/>
    <x v="0"/>
    <x v="1"/>
    <x v="1"/>
  </r>
  <r>
    <x v="68"/>
    <s v="Jose Manuel"/>
    <x v="68"/>
    <n v="747024959"/>
    <x v="1"/>
    <x v="13"/>
    <x v="13"/>
    <n v="1429.58"/>
    <x v="0"/>
    <x v="2"/>
    <x v="1"/>
  </r>
  <r>
    <x v="69"/>
    <s v="María Pilar"/>
    <x v="69"/>
    <n v="907777259"/>
    <x v="0"/>
    <x v="65"/>
    <x v="6"/>
    <n v="617.39"/>
    <x v="0"/>
    <x v="2"/>
    <x v="0"/>
  </r>
  <r>
    <x v="70"/>
    <s v="Olalla"/>
    <x v="70"/>
    <n v="701055024"/>
    <x v="0"/>
    <x v="66"/>
    <x v="18"/>
    <n v="1417.81"/>
    <x v="0"/>
    <x v="3"/>
    <x v="0"/>
  </r>
  <r>
    <x v="71"/>
    <s v="Régulo"/>
    <x v="71"/>
    <n v="841231253"/>
    <x v="0"/>
    <x v="38"/>
    <x v="10"/>
    <n v="1908.11"/>
    <x v="0"/>
    <x v="2"/>
    <x v="1"/>
  </r>
  <r>
    <x v="42"/>
    <s v="Julio César"/>
    <x v="42"/>
    <n v="628214825"/>
    <x v="0"/>
    <x v="67"/>
    <x v="6"/>
    <n v="873.19"/>
    <x v="0"/>
    <x v="2"/>
    <x v="0"/>
  </r>
  <r>
    <x v="72"/>
    <s v="Enrique"/>
    <x v="72"/>
    <n v="713291022"/>
    <x v="2"/>
    <x v="68"/>
    <x v="2"/>
    <n v="348.52"/>
    <x v="0"/>
    <x v="3"/>
    <x v="1"/>
  </r>
  <r>
    <x v="73"/>
    <s v="Evangelina"/>
    <x v="73"/>
    <n v="737130420"/>
    <x v="0"/>
    <x v="69"/>
    <x v="13"/>
    <n v="626.91"/>
    <x v="0"/>
    <x v="0"/>
    <x v="1"/>
  </r>
  <r>
    <x v="74"/>
    <s v="Narciso"/>
    <x v="74"/>
    <n v="738534660"/>
    <x v="1"/>
    <x v="70"/>
    <x v="18"/>
    <n v="772.77"/>
    <x v="0"/>
    <x v="0"/>
    <x v="0"/>
  </r>
  <r>
    <x v="62"/>
    <s v="Jesusa"/>
    <x v="62"/>
    <n v="948373777"/>
    <x v="0"/>
    <x v="71"/>
    <x v="16"/>
    <n v="1434.81"/>
    <x v="0"/>
    <x v="1"/>
    <x v="0"/>
  </r>
  <r>
    <x v="75"/>
    <s v="Mohamed"/>
    <x v="75"/>
    <n v="655270350"/>
    <x v="1"/>
    <x v="72"/>
    <x v="16"/>
    <n v="1088.8499999999999"/>
    <x v="0"/>
    <x v="0"/>
    <x v="1"/>
  </r>
  <r>
    <x v="76"/>
    <s v="Juan Pablo"/>
    <x v="76"/>
    <n v="866148409"/>
    <x v="0"/>
    <x v="73"/>
    <x v="16"/>
    <n v="1131"/>
    <x v="1"/>
    <x v="4"/>
    <x v="0"/>
  </r>
  <r>
    <x v="77"/>
    <s v="Benito"/>
    <x v="77"/>
    <n v="937606933"/>
    <x v="0"/>
    <x v="74"/>
    <x v="8"/>
    <n v="1023.01"/>
    <x v="0"/>
    <x v="1"/>
    <x v="0"/>
  </r>
  <r>
    <x v="78"/>
    <s v="Lino"/>
    <x v="78"/>
    <n v="699605788"/>
    <x v="1"/>
    <x v="75"/>
    <x v="7"/>
    <n v="655.95"/>
    <x v="0"/>
    <x v="0"/>
    <x v="0"/>
  </r>
  <r>
    <x v="79"/>
    <s v="Anselmo"/>
    <x v="79"/>
    <n v="954106570"/>
    <x v="0"/>
    <x v="76"/>
    <x v="10"/>
    <n v="61.74"/>
    <x v="0"/>
    <x v="0"/>
    <x v="0"/>
  </r>
  <r>
    <x v="5"/>
    <s v="Goyo"/>
    <x v="5"/>
    <n v="733868257"/>
    <x v="1"/>
    <x v="77"/>
    <x v="1"/>
    <n v="943.57"/>
    <x v="0"/>
    <x v="1"/>
    <x v="1"/>
  </r>
  <r>
    <x v="80"/>
    <s v="Leonel"/>
    <x v="80"/>
    <n v="816160530"/>
    <x v="1"/>
    <x v="16"/>
    <x v="19"/>
    <n v="1294.19"/>
    <x v="0"/>
    <x v="1"/>
    <x v="1"/>
  </r>
  <r>
    <x v="50"/>
    <s v="Brunilda"/>
    <x v="50"/>
    <n v="715742102"/>
    <x v="0"/>
    <x v="78"/>
    <x v="6"/>
    <n v="1895.81"/>
    <x v="0"/>
    <x v="2"/>
    <x v="0"/>
  </r>
  <r>
    <x v="81"/>
    <s v="Pepito"/>
    <x v="81"/>
    <n v="859697886"/>
    <x v="0"/>
    <x v="79"/>
    <x v="12"/>
    <n v="1334.72"/>
    <x v="0"/>
    <x v="4"/>
    <x v="0"/>
  </r>
  <r>
    <x v="82"/>
    <s v="José Luis"/>
    <x v="82"/>
    <n v="703546596"/>
    <x v="1"/>
    <x v="80"/>
    <x v="9"/>
    <n v="904.49"/>
    <x v="0"/>
    <x v="1"/>
    <x v="0"/>
  </r>
  <r>
    <x v="83"/>
    <s v="Ema"/>
    <x v="83"/>
    <n v="745956596"/>
    <x v="0"/>
    <x v="81"/>
    <x v="19"/>
    <n v="1149.96"/>
    <x v="0"/>
    <x v="2"/>
    <x v="0"/>
  </r>
  <r>
    <x v="84"/>
    <s v="Daniel"/>
    <x v="84"/>
    <n v="733027275"/>
    <x v="1"/>
    <x v="82"/>
    <x v="17"/>
    <n v="60.49"/>
    <x v="0"/>
    <x v="3"/>
    <x v="1"/>
  </r>
  <r>
    <x v="85"/>
    <s v="Débora"/>
    <x v="85"/>
    <n v="730479253"/>
    <x v="1"/>
    <x v="49"/>
    <x v="8"/>
    <n v="639.37"/>
    <x v="0"/>
    <x v="1"/>
    <x v="1"/>
  </r>
  <r>
    <x v="86"/>
    <s v="Apolinar"/>
    <x v="86"/>
    <n v="825868533"/>
    <x v="1"/>
    <x v="83"/>
    <x v="21"/>
    <n v="845.22"/>
    <x v="1"/>
    <x v="3"/>
    <x v="0"/>
  </r>
  <r>
    <x v="27"/>
    <s v="Maite"/>
    <x v="27"/>
    <n v="723510058"/>
    <x v="1"/>
    <x v="84"/>
    <x v="14"/>
    <n v="1564.65"/>
    <x v="0"/>
    <x v="0"/>
    <x v="1"/>
  </r>
  <r>
    <x v="12"/>
    <s v="Custodia"/>
    <x v="12"/>
    <n v="734311637"/>
    <x v="0"/>
    <x v="85"/>
    <x v="7"/>
    <n v="72.180000000000007"/>
    <x v="0"/>
    <x v="1"/>
    <x v="0"/>
  </r>
  <r>
    <x v="87"/>
    <s v="Clementina"/>
    <x v="87"/>
    <n v="624519478"/>
    <x v="1"/>
    <x v="86"/>
    <x v="8"/>
    <n v="1968.49"/>
    <x v="0"/>
    <x v="1"/>
    <x v="1"/>
  </r>
  <r>
    <x v="88"/>
    <s v="Alexandra"/>
    <x v="88"/>
    <n v="701371902"/>
    <x v="0"/>
    <x v="87"/>
    <x v="22"/>
    <n v="338.79"/>
    <x v="0"/>
    <x v="4"/>
    <x v="0"/>
  </r>
  <r>
    <x v="60"/>
    <s v="Quirino"/>
    <x v="60"/>
    <n v="739112559"/>
    <x v="0"/>
    <x v="88"/>
    <x v="8"/>
    <n v="1681.29"/>
    <x v="0"/>
    <x v="0"/>
    <x v="0"/>
  </r>
  <r>
    <x v="89"/>
    <s v="Olga"/>
    <x v="89"/>
    <n v="728508171"/>
    <x v="0"/>
    <x v="89"/>
    <x v="6"/>
    <n v="1720.32"/>
    <x v="0"/>
    <x v="1"/>
    <x v="1"/>
  </r>
  <r>
    <x v="90"/>
    <s v="Rolando"/>
    <x v="90"/>
    <n v="709840779"/>
    <x v="2"/>
    <x v="90"/>
    <x v="3"/>
    <n v="1388.3"/>
    <x v="1"/>
    <x v="1"/>
    <x v="1"/>
  </r>
  <r>
    <x v="91"/>
    <s v="Chita"/>
    <x v="91"/>
    <n v="702654485"/>
    <x v="0"/>
    <x v="91"/>
    <x v="2"/>
    <n v="1947.7"/>
    <x v="0"/>
    <x v="2"/>
    <x v="0"/>
  </r>
  <r>
    <x v="92"/>
    <s v="Aarón"/>
    <x v="92"/>
    <n v="701528957"/>
    <x v="1"/>
    <x v="92"/>
    <x v="22"/>
    <n v="689.89"/>
    <x v="2"/>
    <x v="3"/>
    <x v="1"/>
  </r>
  <r>
    <x v="93"/>
    <s v="Eleuterio"/>
    <x v="93"/>
    <n v="802128905"/>
    <x v="0"/>
    <x v="93"/>
    <x v="0"/>
    <n v="422.81"/>
    <x v="0"/>
    <x v="2"/>
    <x v="0"/>
  </r>
  <r>
    <x v="94"/>
    <s v="Martín"/>
    <x v="94"/>
    <n v="730582836"/>
    <x v="1"/>
    <x v="77"/>
    <x v="9"/>
    <n v="1318.13"/>
    <x v="0"/>
    <x v="3"/>
    <x v="1"/>
  </r>
  <r>
    <x v="5"/>
    <s v="Goyo"/>
    <x v="5"/>
    <n v="733868257"/>
    <x v="1"/>
    <x v="94"/>
    <x v="1"/>
    <n v="704.28"/>
    <x v="0"/>
    <x v="1"/>
    <x v="1"/>
  </r>
  <r>
    <x v="95"/>
    <s v="Carmelita"/>
    <x v="95"/>
    <n v="728693313"/>
    <x v="1"/>
    <x v="95"/>
    <x v="12"/>
    <n v="1032.79"/>
    <x v="0"/>
    <x v="3"/>
    <x v="0"/>
  </r>
  <r>
    <x v="96"/>
    <s v="Angelita"/>
    <x v="96"/>
    <n v="749724328"/>
    <x v="0"/>
    <x v="96"/>
    <x v="23"/>
    <n v="55.78"/>
    <x v="0"/>
    <x v="1"/>
    <x v="0"/>
  </r>
  <r>
    <x v="97"/>
    <s v="Federico"/>
    <x v="97"/>
    <n v="733325222"/>
    <x v="0"/>
    <x v="97"/>
    <x v="14"/>
    <n v="608.51"/>
    <x v="0"/>
    <x v="3"/>
    <x v="1"/>
  </r>
  <r>
    <x v="98"/>
    <s v="Augusto"/>
    <x v="98"/>
    <n v="970397357"/>
    <x v="1"/>
    <x v="98"/>
    <x v="2"/>
    <n v="1427.59"/>
    <x v="0"/>
    <x v="3"/>
    <x v="0"/>
  </r>
  <r>
    <x v="99"/>
    <s v="Leyre"/>
    <x v="99"/>
    <n v="649943369"/>
    <x v="1"/>
    <x v="99"/>
    <x v="5"/>
    <n v="311.07"/>
    <x v="0"/>
    <x v="2"/>
    <x v="1"/>
  </r>
  <r>
    <x v="29"/>
    <s v="Sebastián"/>
    <x v="29"/>
    <n v="727899933"/>
    <x v="1"/>
    <x v="100"/>
    <x v="8"/>
    <n v="1791.44"/>
    <x v="0"/>
    <x v="3"/>
    <x v="0"/>
  </r>
  <r>
    <x v="100"/>
    <s v="Jose Miguel"/>
    <x v="100"/>
    <n v="717372411"/>
    <x v="0"/>
    <x v="101"/>
    <x v="3"/>
    <n v="141.83000000000001"/>
    <x v="1"/>
    <x v="2"/>
    <x v="1"/>
  </r>
  <r>
    <x v="31"/>
    <s v="Hugo"/>
    <x v="31"/>
    <n v="826663368"/>
    <x v="1"/>
    <x v="102"/>
    <x v="1"/>
    <n v="1642.11"/>
    <x v="0"/>
    <x v="1"/>
    <x v="1"/>
  </r>
  <r>
    <x v="101"/>
    <s v="Felix"/>
    <x v="101"/>
    <n v="749804420"/>
    <x v="1"/>
    <x v="103"/>
    <x v="23"/>
    <n v="329.82"/>
    <x v="0"/>
    <x v="4"/>
    <x v="0"/>
  </r>
  <r>
    <x v="102"/>
    <s v="Angelita"/>
    <x v="102"/>
    <n v="719168799"/>
    <x v="0"/>
    <x v="104"/>
    <x v="17"/>
    <n v="63.46"/>
    <x v="0"/>
    <x v="2"/>
    <x v="0"/>
  </r>
  <r>
    <x v="103"/>
    <s v="Emilia"/>
    <x v="103"/>
    <n v="721361791"/>
    <x v="0"/>
    <x v="105"/>
    <x v="7"/>
    <n v="1968.75"/>
    <x v="0"/>
    <x v="3"/>
    <x v="0"/>
  </r>
  <r>
    <x v="104"/>
    <s v="Cayetana"/>
    <x v="104"/>
    <n v="930065477"/>
    <x v="0"/>
    <x v="106"/>
    <x v="11"/>
    <n v="1668.13"/>
    <x v="0"/>
    <x v="3"/>
    <x v="1"/>
  </r>
  <r>
    <x v="105"/>
    <s v="Sergio"/>
    <x v="105"/>
    <n v="725175634"/>
    <x v="0"/>
    <x v="107"/>
    <x v="2"/>
    <n v="592.24"/>
    <x v="0"/>
    <x v="2"/>
    <x v="1"/>
  </r>
  <r>
    <x v="106"/>
    <s v="Juan Bautista"/>
    <x v="106"/>
    <n v="723547702"/>
    <x v="0"/>
    <x v="108"/>
    <x v="21"/>
    <n v="305.83"/>
    <x v="0"/>
    <x v="2"/>
    <x v="1"/>
  </r>
  <r>
    <x v="107"/>
    <s v="Sandalio"/>
    <x v="107"/>
    <n v="744704520"/>
    <x v="0"/>
    <x v="109"/>
    <x v="19"/>
    <n v="1523.49"/>
    <x v="0"/>
    <x v="2"/>
    <x v="1"/>
  </r>
  <r>
    <x v="108"/>
    <s v="Jesús"/>
    <x v="108"/>
    <n v="979540496"/>
    <x v="0"/>
    <x v="110"/>
    <x v="4"/>
    <n v="1831.09"/>
    <x v="0"/>
    <x v="1"/>
    <x v="1"/>
  </r>
  <r>
    <x v="103"/>
    <s v="Emilia"/>
    <x v="103"/>
    <n v="721361791"/>
    <x v="0"/>
    <x v="111"/>
    <x v="7"/>
    <n v="1655.66"/>
    <x v="0"/>
    <x v="0"/>
    <x v="0"/>
  </r>
  <r>
    <x v="109"/>
    <s v="Román"/>
    <x v="109"/>
    <n v="681942999"/>
    <x v="0"/>
    <x v="112"/>
    <x v="6"/>
    <n v="37.19"/>
    <x v="0"/>
    <x v="2"/>
    <x v="1"/>
  </r>
  <r>
    <x v="110"/>
    <s v="Bruno"/>
    <x v="110"/>
    <n v="721752316"/>
    <x v="1"/>
    <x v="113"/>
    <x v="17"/>
    <n v="960.2"/>
    <x v="0"/>
    <x v="1"/>
    <x v="0"/>
  </r>
  <r>
    <x v="5"/>
    <s v="Goyo"/>
    <x v="5"/>
    <n v="733868257"/>
    <x v="1"/>
    <x v="114"/>
    <x v="1"/>
    <n v="839.83"/>
    <x v="1"/>
    <x v="3"/>
    <x v="0"/>
  </r>
  <r>
    <x v="111"/>
    <s v="Maximino"/>
    <x v="111"/>
    <n v="719370887"/>
    <x v="1"/>
    <x v="115"/>
    <x v="14"/>
    <n v="1971.07"/>
    <x v="0"/>
    <x v="3"/>
    <x v="0"/>
  </r>
  <r>
    <x v="112"/>
    <s v="Chus"/>
    <x v="112"/>
    <n v="735500587"/>
    <x v="1"/>
    <x v="116"/>
    <x v="13"/>
    <n v="309.77"/>
    <x v="0"/>
    <x v="3"/>
    <x v="1"/>
  </r>
  <r>
    <x v="113"/>
    <s v="Marcio"/>
    <x v="113"/>
    <n v="682341936"/>
    <x v="0"/>
    <x v="99"/>
    <x v="1"/>
    <n v="1258.04"/>
    <x v="0"/>
    <x v="2"/>
    <x v="0"/>
  </r>
  <r>
    <x v="114"/>
    <s v="Heraclio"/>
    <x v="114"/>
    <n v="727937300"/>
    <x v="0"/>
    <x v="117"/>
    <x v="10"/>
    <n v="1233.6300000000001"/>
    <x v="0"/>
    <x v="1"/>
    <x v="1"/>
  </r>
  <r>
    <x v="115"/>
    <s v="Leandro"/>
    <x v="115"/>
    <n v="717637012"/>
    <x v="1"/>
    <x v="118"/>
    <x v="20"/>
    <n v="559.34"/>
    <x v="0"/>
    <x v="3"/>
    <x v="1"/>
  </r>
  <r>
    <x v="116"/>
    <s v="Ramona"/>
    <x v="116"/>
    <n v="622023254"/>
    <x v="0"/>
    <x v="119"/>
    <x v="13"/>
    <n v="609.35"/>
    <x v="0"/>
    <x v="1"/>
    <x v="1"/>
  </r>
  <r>
    <x v="117"/>
    <s v="Dolores"/>
    <x v="117"/>
    <n v="608275218"/>
    <x v="0"/>
    <x v="21"/>
    <x v="11"/>
    <n v="779.38"/>
    <x v="0"/>
    <x v="1"/>
    <x v="1"/>
  </r>
  <r>
    <x v="118"/>
    <s v="Vidal"/>
    <x v="118"/>
    <n v="749984420"/>
    <x v="0"/>
    <x v="120"/>
    <x v="18"/>
    <n v="1283.26"/>
    <x v="0"/>
    <x v="1"/>
    <x v="0"/>
  </r>
  <r>
    <x v="119"/>
    <s v="Aroa"/>
    <x v="119"/>
    <n v="717655927"/>
    <x v="1"/>
    <x v="121"/>
    <x v="23"/>
    <n v="719.75"/>
    <x v="0"/>
    <x v="0"/>
    <x v="0"/>
  </r>
  <r>
    <x v="120"/>
    <s v="Cipriano"/>
    <x v="120"/>
    <n v="708260146"/>
    <x v="2"/>
    <x v="122"/>
    <x v="6"/>
    <n v="1139.45"/>
    <x v="0"/>
    <x v="2"/>
    <x v="0"/>
  </r>
  <r>
    <x v="121"/>
    <s v="Tecla"/>
    <x v="121"/>
    <n v="715497471"/>
    <x v="0"/>
    <x v="123"/>
    <x v="18"/>
    <n v="693.23"/>
    <x v="0"/>
    <x v="2"/>
    <x v="0"/>
  </r>
  <r>
    <x v="122"/>
    <s v="Sol"/>
    <x v="122"/>
    <n v="911729847"/>
    <x v="1"/>
    <x v="124"/>
    <x v="23"/>
    <n v="752.42"/>
    <x v="0"/>
    <x v="0"/>
    <x v="1"/>
  </r>
  <r>
    <x v="4"/>
    <s v="Manuel"/>
    <x v="4"/>
    <n v="722114878"/>
    <x v="0"/>
    <x v="125"/>
    <x v="4"/>
    <n v="602.04"/>
    <x v="0"/>
    <x v="3"/>
    <x v="1"/>
  </r>
  <r>
    <x v="123"/>
    <s v="Eva María"/>
    <x v="123"/>
    <n v="713186177"/>
    <x v="1"/>
    <x v="126"/>
    <x v="2"/>
    <n v="722.91"/>
    <x v="0"/>
    <x v="0"/>
    <x v="1"/>
  </r>
  <r>
    <x v="124"/>
    <s v="Adora"/>
    <x v="124"/>
    <n v="746643710"/>
    <x v="2"/>
    <x v="127"/>
    <x v="15"/>
    <n v="1239.06"/>
    <x v="0"/>
    <x v="4"/>
    <x v="1"/>
  </r>
  <r>
    <x v="125"/>
    <s v="Toño"/>
    <x v="125"/>
    <n v="722621294"/>
    <x v="0"/>
    <x v="128"/>
    <x v="2"/>
    <n v="1473.51"/>
    <x v="0"/>
    <x v="3"/>
    <x v="1"/>
  </r>
  <r>
    <x v="126"/>
    <s v="Rodolfo"/>
    <x v="126"/>
    <n v="718300332"/>
    <x v="0"/>
    <x v="129"/>
    <x v="4"/>
    <n v="948.4"/>
    <x v="0"/>
    <x v="2"/>
    <x v="0"/>
  </r>
  <r>
    <x v="127"/>
    <s v="Rocío"/>
    <x v="127"/>
    <n v="712704910"/>
    <x v="0"/>
    <x v="130"/>
    <x v="12"/>
    <n v="83.53"/>
    <x v="0"/>
    <x v="2"/>
    <x v="0"/>
  </r>
  <r>
    <x v="128"/>
    <s v="Dorotea"/>
    <x v="128"/>
    <n v="710265150"/>
    <x v="1"/>
    <x v="131"/>
    <x v="19"/>
    <n v="1277.52"/>
    <x v="2"/>
    <x v="5"/>
    <x v="1"/>
  </r>
  <r>
    <x v="112"/>
    <s v="Chus"/>
    <x v="112"/>
    <n v="735500587"/>
    <x v="1"/>
    <x v="132"/>
    <x v="13"/>
    <n v="1587.15"/>
    <x v="1"/>
    <x v="0"/>
    <x v="1"/>
  </r>
  <r>
    <x v="129"/>
    <s v="Jerónimo"/>
    <x v="129"/>
    <n v="653146228"/>
    <x v="1"/>
    <x v="85"/>
    <x v="12"/>
    <n v="1061.52"/>
    <x v="0"/>
    <x v="3"/>
    <x v="1"/>
  </r>
  <r>
    <x v="122"/>
    <s v="Sol"/>
    <x v="122"/>
    <n v="911729847"/>
    <x v="1"/>
    <x v="133"/>
    <x v="23"/>
    <n v="1537.73"/>
    <x v="0"/>
    <x v="0"/>
    <x v="0"/>
  </r>
  <r>
    <x v="113"/>
    <s v="Marcio"/>
    <x v="113"/>
    <n v="682341936"/>
    <x v="0"/>
    <x v="134"/>
    <x v="1"/>
    <n v="77.98"/>
    <x v="0"/>
    <x v="1"/>
    <x v="1"/>
  </r>
  <r>
    <x v="66"/>
    <s v="Marcelino"/>
    <x v="66"/>
    <n v="719919620"/>
    <x v="0"/>
    <x v="135"/>
    <x v="15"/>
    <n v="1976.23"/>
    <x v="0"/>
    <x v="2"/>
    <x v="0"/>
  </r>
  <r>
    <x v="130"/>
    <s v="Juan Carlos"/>
    <x v="130"/>
    <n v="941385528"/>
    <x v="2"/>
    <x v="136"/>
    <x v="17"/>
    <n v="765.78"/>
    <x v="0"/>
    <x v="1"/>
    <x v="0"/>
  </r>
  <r>
    <x v="131"/>
    <s v="Yaiza"/>
    <x v="131"/>
    <n v="714072413"/>
    <x v="1"/>
    <x v="123"/>
    <x v="15"/>
    <n v="1757.4"/>
    <x v="1"/>
    <x v="0"/>
    <x v="0"/>
  </r>
  <r>
    <x v="132"/>
    <s v="Nacho"/>
    <x v="132"/>
    <n v="704058112"/>
    <x v="1"/>
    <x v="137"/>
    <x v="0"/>
    <n v="1284.46"/>
    <x v="0"/>
    <x v="3"/>
    <x v="1"/>
  </r>
  <r>
    <x v="133"/>
    <s v="Gaspar"/>
    <x v="133"/>
    <n v="734216317"/>
    <x v="0"/>
    <x v="138"/>
    <x v="14"/>
    <n v="1026.6199999999999"/>
    <x v="0"/>
    <x v="3"/>
    <x v="0"/>
  </r>
  <r>
    <x v="34"/>
    <s v="Verónica"/>
    <x v="34"/>
    <n v="806812397"/>
    <x v="1"/>
    <x v="139"/>
    <x v="1"/>
    <n v="1698.27"/>
    <x v="0"/>
    <x v="4"/>
    <x v="1"/>
  </r>
  <r>
    <x v="134"/>
    <s v="Reynaldo"/>
    <x v="134"/>
    <n v="633388134"/>
    <x v="0"/>
    <x v="123"/>
    <x v="18"/>
    <n v="1758.44"/>
    <x v="0"/>
    <x v="2"/>
    <x v="0"/>
  </r>
  <r>
    <x v="135"/>
    <s v="Graciana"/>
    <x v="135"/>
    <n v="713699779"/>
    <x v="0"/>
    <x v="140"/>
    <x v="10"/>
    <n v="1638.48"/>
    <x v="0"/>
    <x v="1"/>
    <x v="0"/>
  </r>
  <r>
    <x v="136"/>
    <s v="Nilda"/>
    <x v="136"/>
    <n v="992824041"/>
    <x v="2"/>
    <x v="141"/>
    <x v="20"/>
    <n v="105.11"/>
    <x v="0"/>
    <x v="3"/>
    <x v="0"/>
  </r>
  <r>
    <x v="137"/>
    <s v="Lola"/>
    <x v="137"/>
    <n v="813178789"/>
    <x v="1"/>
    <x v="142"/>
    <x v="7"/>
    <n v="812.23"/>
    <x v="0"/>
    <x v="0"/>
    <x v="1"/>
  </r>
  <r>
    <x v="116"/>
    <s v="Ramona"/>
    <x v="116"/>
    <n v="622023254"/>
    <x v="0"/>
    <x v="143"/>
    <x v="13"/>
    <n v="777.39"/>
    <x v="0"/>
    <x v="1"/>
    <x v="0"/>
  </r>
  <r>
    <x v="138"/>
    <s v="Faustino"/>
    <x v="138"/>
    <n v="744459838"/>
    <x v="0"/>
    <x v="144"/>
    <x v="8"/>
    <n v="765.45"/>
    <x v="0"/>
    <x v="1"/>
    <x v="1"/>
  </r>
  <r>
    <x v="139"/>
    <s v="Úrsula"/>
    <x v="139"/>
    <n v="714356417"/>
    <x v="0"/>
    <x v="145"/>
    <x v="17"/>
    <n v="804.5"/>
    <x v="0"/>
    <x v="2"/>
    <x v="1"/>
  </r>
  <r>
    <x v="91"/>
    <s v="Chita"/>
    <x v="91"/>
    <n v="702654485"/>
    <x v="0"/>
    <x v="146"/>
    <x v="2"/>
    <n v="210.89"/>
    <x v="0"/>
    <x v="0"/>
    <x v="1"/>
  </r>
  <r>
    <x v="140"/>
    <s v="Socorro"/>
    <x v="140"/>
    <n v="708352673"/>
    <x v="0"/>
    <x v="147"/>
    <x v="3"/>
    <n v="716.41"/>
    <x v="0"/>
    <x v="1"/>
    <x v="0"/>
  </r>
  <r>
    <x v="141"/>
    <s v="Brunilda"/>
    <x v="141"/>
    <n v="652976786"/>
    <x v="1"/>
    <x v="95"/>
    <x v="8"/>
    <n v="596.66999999999996"/>
    <x v="0"/>
    <x v="1"/>
    <x v="0"/>
  </r>
  <r>
    <x v="142"/>
    <s v="Néstor"/>
    <x v="142"/>
    <n v="723570924"/>
    <x v="0"/>
    <x v="148"/>
    <x v="16"/>
    <n v="547.66999999999996"/>
    <x v="0"/>
    <x v="2"/>
    <x v="1"/>
  </r>
  <r>
    <x v="143"/>
    <s v="Benita"/>
    <x v="143"/>
    <n v="742193948"/>
    <x v="0"/>
    <x v="16"/>
    <x v="19"/>
    <n v="905.47"/>
    <x v="1"/>
    <x v="2"/>
    <x v="0"/>
  </r>
  <r>
    <x v="144"/>
    <s v="Verónica"/>
    <x v="144"/>
    <n v="745405673"/>
    <x v="1"/>
    <x v="149"/>
    <x v="13"/>
    <n v="19.489999999999998"/>
    <x v="0"/>
    <x v="4"/>
    <x v="0"/>
  </r>
  <r>
    <x v="145"/>
    <s v="Kike"/>
    <x v="145"/>
    <n v="819517980"/>
    <x v="2"/>
    <x v="150"/>
    <x v="4"/>
    <n v="1633.45"/>
    <x v="0"/>
    <x v="1"/>
    <x v="1"/>
  </r>
  <r>
    <x v="146"/>
    <s v="Lupe"/>
    <x v="146"/>
    <n v="735567153"/>
    <x v="0"/>
    <x v="151"/>
    <x v="12"/>
    <n v="1835.66"/>
    <x v="0"/>
    <x v="1"/>
    <x v="0"/>
  </r>
  <r>
    <x v="147"/>
    <s v="Evaristo"/>
    <x v="147"/>
    <n v="720179790"/>
    <x v="0"/>
    <x v="152"/>
    <x v="8"/>
    <n v="1237.25"/>
    <x v="0"/>
    <x v="2"/>
    <x v="0"/>
  </r>
  <r>
    <x v="148"/>
    <s v="Nicodemo"/>
    <x v="148"/>
    <n v="745350274"/>
    <x v="1"/>
    <x v="153"/>
    <x v="10"/>
    <n v="1832.59"/>
    <x v="0"/>
    <x v="0"/>
    <x v="0"/>
  </r>
  <r>
    <x v="149"/>
    <s v="Dan"/>
    <x v="149"/>
    <n v="719409141"/>
    <x v="1"/>
    <x v="154"/>
    <x v="22"/>
    <n v="1531.31"/>
    <x v="0"/>
    <x v="3"/>
    <x v="0"/>
  </r>
  <r>
    <x v="150"/>
    <s v="Rogelio"/>
    <x v="150"/>
    <n v="702416899"/>
    <x v="1"/>
    <x v="155"/>
    <x v="1"/>
    <n v="249.93"/>
    <x v="1"/>
    <x v="3"/>
    <x v="0"/>
  </r>
  <r>
    <x v="21"/>
    <s v="Jose Antonio"/>
    <x v="21"/>
    <n v="611493591"/>
    <x v="1"/>
    <x v="156"/>
    <x v="9"/>
    <n v="1625.76"/>
    <x v="2"/>
    <x v="4"/>
    <x v="0"/>
  </r>
  <r>
    <x v="151"/>
    <s v="Roque"/>
    <x v="151"/>
    <n v="724968308"/>
    <x v="0"/>
    <x v="157"/>
    <x v="1"/>
    <n v="954.59"/>
    <x v="0"/>
    <x v="4"/>
    <x v="0"/>
  </r>
  <r>
    <x v="152"/>
    <s v="Ramona"/>
    <x v="152"/>
    <n v="860807644"/>
    <x v="0"/>
    <x v="158"/>
    <x v="7"/>
    <n v="254.77"/>
    <x v="0"/>
    <x v="0"/>
    <x v="1"/>
  </r>
  <r>
    <x v="113"/>
    <s v="Marcio"/>
    <x v="113"/>
    <n v="682341936"/>
    <x v="0"/>
    <x v="159"/>
    <x v="1"/>
    <n v="724.23"/>
    <x v="0"/>
    <x v="2"/>
    <x v="1"/>
  </r>
  <r>
    <x v="153"/>
    <s v="Calixta"/>
    <x v="153"/>
    <n v="732688394"/>
    <x v="0"/>
    <x v="160"/>
    <x v="6"/>
    <n v="1534.3"/>
    <x v="0"/>
    <x v="2"/>
    <x v="0"/>
  </r>
  <r>
    <x v="154"/>
    <s v="Angelino"/>
    <x v="154"/>
    <n v="958161330"/>
    <x v="2"/>
    <x v="161"/>
    <x v="11"/>
    <n v="602.07000000000005"/>
    <x v="0"/>
    <x v="3"/>
    <x v="0"/>
  </r>
  <r>
    <x v="155"/>
    <s v="Cloe"/>
    <x v="155"/>
    <n v="951388515"/>
    <x v="0"/>
    <x v="162"/>
    <x v="9"/>
    <n v="1490.02"/>
    <x v="1"/>
    <x v="0"/>
    <x v="1"/>
  </r>
  <r>
    <x v="119"/>
    <s v="Aroa"/>
    <x v="119"/>
    <n v="717655927"/>
    <x v="1"/>
    <x v="163"/>
    <x v="23"/>
    <n v="1510.46"/>
    <x v="0"/>
    <x v="3"/>
    <x v="0"/>
  </r>
  <r>
    <x v="156"/>
    <s v="Nuria"/>
    <x v="156"/>
    <n v="719129176"/>
    <x v="1"/>
    <x v="164"/>
    <x v="5"/>
    <n v="153.96"/>
    <x v="0"/>
    <x v="0"/>
    <x v="1"/>
  </r>
  <r>
    <x v="157"/>
    <s v="Duilio"/>
    <x v="157"/>
    <n v="864373881"/>
    <x v="2"/>
    <x v="16"/>
    <x v="11"/>
    <n v="615.75"/>
    <x v="0"/>
    <x v="3"/>
    <x v="0"/>
  </r>
  <r>
    <x v="158"/>
    <s v="Andrés Felipe"/>
    <x v="158"/>
    <n v="703436635"/>
    <x v="0"/>
    <x v="165"/>
    <x v="16"/>
    <n v="1665.82"/>
    <x v="0"/>
    <x v="0"/>
    <x v="1"/>
  </r>
  <r>
    <x v="15"/>
    <s v="Amaya"/>
    <x v="15"/>
    <n v="870185749"/>
    <x v="0"/>
    <x v="46"/>
    <x v="2"/>
    <n v="545.12"/>
    <x v="0"/>
    <x v="3"/>
    <x v="0"/>
  </r>
  <r>
    <x v="4"/>
    <s v="Manuel"/>
    <x v="4"/>
    <n v="722114878"/>
    <x v="0"/>
    <x v="166"/>
    <x v="4"/>
    <n v="1452.89"/>
    <x v="0"/>
    <x v="2"/>
    <x v="0"/>
  </r>
  <r>
    <x v="159"/>
    <s v="Reynaldo"/>
    <x v="159"/>
    <n v="723183453"/>
    <x v="2"/>
    <x v="167"/>
    <x v="12"/>
    <n v="1219.8699999999999"/>
    <x v="0"/>
    <x v="2"/>
    <x v="0"/>
  </r>
  <r>
    <x v="160"/>
    <s v="Leoncio"/>
    <x v="160"/>
    <n v="726605821"/>
    <x v="1"/>
    <x v="6"/>
    <x v="19"/>
    <n v="1366.88"/>
    <x v="0"/>
    <x v="3"/>
    <x v="1"/>
  </r>
  <r>
    <x v="161"/>
    <s v="Saturnino"/>
    <x v="161"/>
    <n v="705473147"/>
    <x v="0"/>
    <x v="168"/>
    <x v="19"/>
    <n v="1713.69"/>
    <x v="1"/>
    <x v="1"/>
    <x v="1"/>
  </r>
  <r>
    <x v="162"/>
    <s v="Paloma"/>
    <x v="162"/>
    <n v="707823231"/>
    <x v="2"/>
    <x v="169"/>
    <x v="23"/>
    <n v="460.69"/>
    <x v="0"/>
    <x v="2"/>
    <x v="1"/>
  </r>
  <r>
    <x v="54"/>
    <s v="Pascual"/>
    <x v="54"/>
    <n v="743862708"/>
    <x v="0"/>
    <x v="170"/>
    <x v="8"/>
    <n v="1390.43"/>
    <x v="0"/>
    <x v="3"/>
    <x v="0"/>
  </r>
  <r>
    <x v="163"/>
    <s v="Teresita"/>
    <x v="163"/>
    <n v="693949039"/>
    <x v="0"/>
    <x v="171"/>
    <x v="10"/>
    <n v="35.14"/>
    <x v="0"/>
    <x v="2"/>
    <x v="0"/>
  </r>
  <r>
    <x v="164"/>
    <s v="Aránzazu"/>
    <x v="164"/>
    <n v="679029843"/>
    <x v="2"/>
    <x v="172"/>
    <x v="14"/>
    <n v="1409.81"/>
    <x v="2"/>
    <x v="3"/>
    <x v="0"/>
  </r>
  <r>
    <x v="165"/>
    <s v="Pancho"/>
    <x v="165"/>
    <n v="745695976"/>
    <x v="0"/>
    <x v="173"/>
    <x v="0"/>
    <n v="696.81"/>
    <x v="0"/>
    <x v="2"/>
    <x v="1"/>
  </r>
  <r>
    <x v="166"/>
    <s v="Paola"/>
    <x v="166"/>
    <n v="730016083"/>
    <x v="2"/>
    <x v="174"/>
    <x v="12"/>
    <n v="36.9"/>
    <x v="0"/>
    <x v="0"/>
    <x v="1"/>
  </r>
  <r>
    <x v="167"/>
    <s v="Cristian"/>
    <x v="167"/>
    <n v="933609477"/>
    <x v="0"/>
    <x v="175"/>
    <x v="2"/>
    <n v="1252.54"/>
    <x v="0"/>
    <x v="3"/>
    <x v="0"/>
  </r>
  <r>
    <x v="12"/>
    <s v="Custodia"/>
    <x v="12"/>
    <n v="734311637"/>
    <x v="0"/>
    <x v="59"/>
    <x v="7"/>
    <n v="805.28"/>
    <x v="0"/>
    <x v="1"/>
    <x v="0"/>
  </r>
  <r>
    <x v="168"/>
    <s v="Encarna"/>
    <x v="168"/>
    <n v="612365010"/>
    <x v="1"/>
    <x v="176"/>
    <x v="23"/>
    <n v="672.07"/>
    <x v="0"/>
    <x v="0"/>
    <x v="1"/>
  </r>
  <r>
    <x v="169"/>
    <s v="Eliseo"/>
    <x v="169"/>
    <n v="741006511"/>
    <x v="0"/>
    <x v="177"/>
    <x v="9"/>
    <n v="388.89"/>
    <x v="0"/>
    <x v="5"/>
    <x v="0"/>
  </r>
  <r>
    <x v="170"/>
    <s v="Alejo"/>
    <x v="170"/>
    <n v="727278182"/>
    <x v="0"/>
    <x v="178"/>
    <x v="21"/>
    <n v="1890.77"/>
    <x v="0"/>
    <x v="5"/>
    <x v="1"/>
  </r>
  <r>
    <x v="125"/>
    <s v="Toño"/>
    <x v="125"/>
    <n v="722621294"/>
    <x v="0"/>
    <x v="179"/>
    <x v="2"/>
    <n v="1968.34"/>
    <x v="0"/>
    <x v="3"/>
    <x v="0"/>
  </r>
  <r>
    <x v="39"/>
    <s v="Pepe"/>
    <x v="39"/>
    <n v="700258650"/>
    <x v="0"/>
    <x v="180"/>
    <x v="0"/>
    <n v="1557.54"/>
    <x v="0"/>
    <x v="3"/>
    <x v="0"/>
  </r>
  <r>
    <x v="171"/>
    <s v="Manolo"/>
    <x v="171"/>
    <n v="859523189"/>
    <x v="0"/>
    <x v="181"/>
    <x v="17"/>
    <n v="338.8"/>
    <x v="0"/>
    <x v="3"/>
    <x v="0"/>
  </r>
  <r>
    <x v="8"/>
    <s v="Mar"/>
    <x v="8"/>
    <n v="819579385"/>
    <x v="0"/>
    <x v="182"/>
    <x v="5"/>
    <n v="445.08"/>
    <x v="0"/>
    <x v="1"/>
    <x v="1"/>
  </r>
  <r>
    <x v="172"/>
    <s v="Arsenio"/>
    <x v="172"/>
    <n v="710606110"/>
    <x v="1"/>
    <x v="183"/>
    <x v="5"/>
    <n v="621.35"/>
    <x v="1"/>
    <x v="2"/>
    <x v="1"/>
  </r>
  <r>
    <x v="115"/>
    <s v="Leandro"/>
    <x v="115"/>
    <n v="717637012"/>
    <x v="1"/>
    <x v="184"/>
    <x v="20"/>
    <n v="1439.58"/>
    <x v="0"/>
    <x v="4"/>
    <x v="0"/>
  </r>
  <r>
    <x v="173"/>
    <s v="Eutropio"/>
    <x v="173"/>
    <n v="735063785"/>
    <x v="1"/>
    <x v="185"/>
    <x v="1"/>
    <n v="130.35"/>
    <x v="0"/>
    <x v="3"/>
    <x v="1"/>
  </r>
  <r>
    <x v="174"/>
    <s v="Paz"/>
    <x v="174"/>
    <n v="803123797"/>
    <x v="0"/>
    <x v="186"/>
    <x v="18"/>
    <n v="1103.04"/>
    <x v="0"/>
    <x v="2"/>
    <x v="0"/>
  </r>
  <r>
    <x v="175"/>
    <s v="Paz"/>
    <x v="175"/>
    <n v="640094829"/>
    <x v="0"/>
    <x v="187"/>
    <x v="0"/>
    <n v="528.53"/>
    <x v="0"/>
    <x v="3"/>
    <x v="0"/>
  </r>
  <r>
    <x v="176"/>
    <s v="Ricarda"/>
    <x v="176"/>
    <n v="713999592"/>
    <x v="0"/>
    <x v="188"/>
    <x v="2"/>
    <n v="1068.6300000000001"/>
    <x v="0"/>
    <x v="4"/>
    <x v="1"/>
  </r>
  <r>
    <x v="30"/>
    <s v="Florentino"/>
    <x v="30"/>
    <n v="951987392"/>
    <x v="0"/>
    <x v="189"/>
    <x v="7"/>
    <n v="1468.95"/>
    <x v="0"/>
    <x v="2"/>
    <x v="0"/>
  </r>
  <r>
    <x v="26"/>
    <s v="Isaías"/>
    <x v="26"/>
    <n v="892859188"/>
    <x v="0"/>
    <x v="190"/>
    <x v="13"/>
    <n v="1509.64"/>
    <x v="2"/>
    <x v="1"/>
    <x v="0"/>
  </r>
  <r>
    <x v="177"/>
    <s v="Custodia"/>
    <x v="177"/>
    <n v="705676062"/>
    <x v="1"/>
    <x v="177"/>
    <x v="17"/>
    <n v="1720.63"/>
    <x v="1"/>
    <x v="3"/>
    <x v="0"/>
  </r>
  <r>
    <x v="178"/>
    <s v="Máximo"/>
    <x v="178"/>
    <n v="628481126"/>
    <x v="0"/>
    <x v="191"/>
    <x v="5"/>
    <n v="1595.49"/>
    <x v="0"/>
    <x v="0"/>
    <x v="1"/>
  </r>
  <r>
    <x v="179"/>
    <s v="Felicidad"/>
    <x v="179"/>
    <n v="632927895"/>
    <x v="0"/>
    <x v="192"/>
    <x v="22"/>
    <n v="1144.4000000000001"/>
    <x v="0"/>
    <x v="2"/>
    <x v="0"/>
  </r>
  <r>
    <x v="180"/>
    <s v="Felipa"/>
    <x v="180"/>
    <n v="741679878"/>
    <x v="0"/>
    <x v="105"/>
    <x v="7"/>
    <n v="1486.66"/>
    <x v="2"/>
    <x v="2"/>
    <x v="0"/>
  </r>
  <r>
    <x v="181"/>
    <s v="Pelayo"/>
    <x v="181"/>
    <n v="913421545"/>
    <x v="1"/>
    <x v="2"/>
    <x v="20"/>
    <n v="340.49"/>
    <x v="0"/>
    <x v="0"/>
    <x v="1"/>
  </r>
  <r>
    <x v="182"/>
    <s v="Wálter"/>
    <x v="182"/>
    <n v="737403719"/>
    <x v="1"/>
    <x v="193"/>
    <x v="17"/>
    <n v="1018.87"/>
    <x v="0"/>
    <x v="3"/>
    <x v="0"/>
  </r>
  <r>
    <x v="114"/>
    <s v="Heraclio"/>
    <x v="114"/>
    <n v="727937300"/>
    <x v="0"/>
    <x v="97"/>
    <x v="10"/>
    <n v="1623.8"/>
    <x v="0"/>
    <x v="3"/>
    <x v="1"/>
  </r>
  <r>
    <x v="183"/>
    <s v="Manu"/>
    <x v="183"/>
    <n v="704105492"/>
    <x v="1"/>
    <x v="194"/>
    <x v="22"/>
    <n v="1897.97"/>
    <x v="0"/>
    <x v="3"/>
    <x v="1"/>
  </r>
  <r>
    <x v="162"/>
    <s v="Paloma"/>
    <x v="162"/>
    <n v="707823231"/>
    <x v="2"/>
    <x v="195"/>
    <x v="23"/>
    <n v="1621.9"/>
    <x v="1"/>
    <x v="2"/>
    <x v="0"/>
  </r>
  <r>
    <x v="184"/>
    <s v="Matilde"/>
    <x v="184"/>
    <n v="716908291"/>
    <x v="0"/>
    <x v="196"/>
    <x v="9"/>
    <n v="916.71"/>
    <x v="0"/>
    <x v="1"/>
    <x v="0"/>
  </r>
  <r>
    <x v="185"/>
    <s v="Victorino"/>
    <x v="185"/>
    <n v="718849459"/>
    <x v="0"/>
    <x v="197"/>
    <x v="16"/>
    <n v="1333.59"/>
    <x v="0"/>
    <x v="1"/>
    <x v="0"/>
  </r>
  <r>
    <x v="9"/>
    <s v="Laura"/>
    <x v="9"/>
    <n v="735998025"/>
    <x v="0"/>
    <x v="198"/>
    <x v="6"/>
    <n v="839.91"/>
    <x v="0"/>
    <x v="2"/>
    <x v="0"/>
  </r>
  <r>
    <x v="186"/>
    <s v="Mohamed"/>
    <x v="186"/>
    <n v="741558653"/>
    <x v="0"/>
    <x v="199"/>
    <x v="3"/>
    <n v="1106.72"/>
    <x v="0"/>
    <x v="3"/>
    <x v="0"/>
  </r>
  <r>
    <x v="70"/>
    <s v="Olalla"/>
    <x v="70"/>
    <n v="701055024"/>
    <x v="0"/>
    <x v="200"/>
    <x v="18"/>
    <n v="918.02"/>
    <x v="0"/>
    <x v="3"/>
    <x v="0"/>
  </r>
  <r>
    <x v="46"/>
    <s v="Lucio"/>
    <x v="46"/>
    <n v="725414927"/>
    <x v="0"/>
    <x v="201"/>
    <x v="18"/>
    <n v="236.57"/>
    <x v="0"/>
    <x v="2"/>
    <x v="1"/>
  </r>
  <r>
    <x v="187"/>
    <s v="Belen"/>
    <x v="187"/>
    <n v="741972258"/>
    <x v="0"/>
    <x v="202"/>
    <x v="21"/>
    <n v="957.26"/>
    <x v="0"/>
    <x v="0"/>
    <x v="1"/>
  </r>
  <r>
    <x v="188"/>
    <s v="Aitor"/>
    <x v="188"/>
    <n v="741044800"/>
    <x v="0"/>
    <x v="203"/>
    <x v="17"/>
    <n v="94.02"/>
    <x v="0"/>
    <x v="2"/>
    <x v="1"/>
  </r>
  <r>
    <x v="189"/>
    <s v="Reina"/>
    <x v="189"/>
    <n v="705449727"/>
    <x v="0"/>
    <x v="204"/>
    <x v="7"/>
    <n v="1021.09"/>
    <x v="0"/>
    <x v="2"/>
    <x v="1"/>
  </r>
  <r>
    <x v="88"/>
    <s v="Alexandra"/>
    <x v="88"/>
    <n v="701371902"/>
    <x v="0"/>
    <x v="205"/>
    <x v="22"/>
    <n v="1388.3"/>
    <x v="2"/>
    <x v="3"/>
    <x v="1"/>
  </r>
  <r>
    <x v="190"/>
    <s v="Juan José"/>
    <x v="190"/>
    <n v="745740326"/>
    <x v="2"/>
    <x v="106"/>
    <x v="12"/>
    <n v="1609.69"/>
    <x v="0"/>
    <x v="3"/>
    <x v="0"/>
  </r>
  <r>
    <x v="191"/>
    <s v="Primitiva"/>
    <x v="191"/>
    <n v="887900324"/>
    <x v="0"/>
    <x v="206"/>
    <x v="19"/>
    <n v="228.88"/>
    <x v="2"/>
    <x v="2"/>
    <x v="1"/>
  </r>
  <r>
    <x v="166"/>
    <s v="Paola"/>
    <x v="166"/>
    <n v="730016083"/>
    <x v="2"/>
    <x v="118"/>
    <x v="12"/>
    <n v="898.86"/>
    <x v="0"/>
    <x v="1"/>
    <x v="1"/>
  </r>
  <r>
    <x v="192"/>
    <s v="Nayara"/>
    <x v="192"/>
    <n v="725966550"/>
    <x v="0"/>
    <x v="207"/>
    <x v="6"/>
    <n v="863.88"/>
    <x v="1"/>
    <x v="1"/>
    <x v="0"/>
  </r>
  <r>
    <x v="193"/>
    <s v="Wálter"/>
    <x v="193"/>
    <n v="747596472"/>
    <x v="1"/>
    <x v="208"/>
    <x v="9"/>
    <n v="1144.28"/>
    <x v="0"/>
    <x v="3"/>
    <x v="1"/>
  </r>
  <r>
    <x v="158"/>
    <s v="Andrés Felipe"/>
    <x v="158"/>
    <n v="703436635"/>
    <x v="0"/>
    <x v="209"/>
    <x v="16"/>
    <n v="1351.26"/>
    <x v="0"/>
    <x v="0"/>
    <x v="1"/>
  </r>
  <r>
    <x v="149"/>
    <s v="Dan"/>
    <x v="149"/>
    <n v="719409141"/>
    <x v="1"/>
    <x v="100"/>
    <x v="22"/>
    <n v="914.35"/>
    <x v="0"/>
    <x v="0"/>
    <x v="1"/>
  </r>
  <r>
    <x v="78"/>
    <s v="Lino"/>
    <x v="78"/>
    <n v="699605788"/>
    <x v="1"/>
    <x v="210"/>
    <x v="7"/>
    <n v="1122"/>
    <x v="2"/>
    <x v="3"/>
    <x v="0"/>
  </r>
  <r>
    <x v="132"/>
    <s v="Nacho"/>
    <x v="132"/>
    <n v="704058112"/>
    <x v="1"/>
    <x v="211"/>
    <x v="0"/>
    <n v="1893.9"/>
    <x v="0"/>
    <x v="4"/>
    <x v="1"/>
  </r>
  <r>
    <x v="59"/>
    <s v="Clemente"/>
    <x v="59"/>
    <n v="744517295"/>
    <x v="1"/>
    <x v="212"/>
    <x v="7"/>
    <n v="109.69"/>
    <x v="0"/>
    <x v="0"/>
    <x v="0"/>
  </r>
  <r>
    <x v="194"/>
    <s v="Tomás"/>
    <x v="194"/>
    <n v="737710108"/>
    <x v="0"/>
    <x v="213"/>
    <x v="15"/>
    <n v="1232.32"/>
    <x v="0"/>
    <x v="4"/>
    <x v="1"/>
  </r>
  <r>
    <x v="195"/>
    <s v="Graciano"/>
    <x v="195"/>
    <n v="745378803"/>
    <x v="1"/>
    <x v="213"/>
    <x v="6"/>
    <n v="1316.17"/>
    <x v="0"/>
    <x v="3"/>
    <x v="0"/>
  </r>
  <r>
    <x v="196"/>
    <s v="Primitivo"/>
    <x v="196"/>
    <n v="731359620"/>
    <x v="1"/>
    <x v="18"/>
    <x v="8"/>
    <n v="360.69"/>
    <x v="0"/>
    <x v="3"/>
    <x v="1"/>
  </r>
  <r>
    <x v="197"/>
    <s v="Alfredo"/>
    <x v="197"/>
    <n v="710390333"/>
    <x v="1"/>
    <x v="214"/>
    <x v="6"/>
    <n v="290.95999999999998"/>
    <x v="0"/>
    <x v="3"/>
    <x v="0"/>
  </r>
  <r>
    <x v="198"/>
    <s v="Ligia"/>
    <x v="198"/>
    <n v="720195198"/>
    <x v="1"/>
    <x v="215"/>
    <x v="18"/>
    <n v="72.38"/>
    <x v="0"/>
    <x v="0"/>
    <x v="0"/>
  </r>
  <r>
    <x v="199"/>
    <s v="Eva María"/>
    <x v="199"/>
    <n v="704360684"/>
    <x v="0"/>
    <x v="216"/>
    <x v="2"/>
    <n v="1881.75"/>
    <x v="0"/>
    <x v="3"/>
    <x v="1"/>
  </r>
  <r>
    <x v="200"/>
    <s v="Renata"/>
    <x v="200"/>
    <n v="710165186"/>
    <x v="0"/>
    <x v="217"/>
    <x v="13"/>
    <n v="867.9"/>
    <x v="0"/>
    <x v="2"/>
    <x v="1"/>
  </r>
  <r>
    <x v="201"/>
    <s v="Azucena"/>
    <x v="201"/>
    <n v="709339074"/>
    <x v="0"/>
    <x v="218"/>
    <x v="12"/>
    <n v="909.92"/>
    <x v="0"/>
    <x v="2"/>
    <x v="0"/>
  </r>
  <r>
    <x v="202"/>
    <s v="Valeria"/>
    <x v="202"/>
    <n v="738447830"/>
    <x v="1"/>
    <x v="219"/>
    <x v="17"/>
    <n v="1198.42"/>
    <x v="2"/>
    <x v="2"/>
    <x v="1"/>
  </r>
  <r>
    <x v="180"/>
    <s v="Felipa"/>
    <x v="180"/>
    <n v="741679878"/>
    <x v="0"/>
    <x v="125"/>
    <x v="7"/>
    <n v="1196.6400000000001"/>
    <x v="0"/>
    <x v="1"/>
    <x v="0"/>
  </r>
  <r>
    <x v="203"/>
    <s v="Manu"/>
    <x v="203"/>
    <n v="739067408"/>
    <x v="0"/>
    <x v="220"/>
    <x v="12"/>
    <n v="1259.4100000000001"/>
    <x v="0"/>
    <x v="2"/>
    <x v="1"/>
  </r>
  <r>
    <x v="204"/>
    <s v="Bibiana"/>
    <x v="204"/>
    <n v="733233840"/>
    <x v="0"/>
    <x v="221"/>
    <x v="14"/>
    <n v="972.68"/>
    <x v="0"/>
    <x v="2"/>
    <x v="0"/>
  </r>
  <r>
    <x v="72"/>
    <s v="Enrique"/>
    <x v="72"/>
    <n v="713291022"/>
    <x v="2"/>
    <x v="222"/>
    <x v="2"/>
    <n v="1851.02"/>
    <x v="0"/>
    <x v="1"/>
    <x v="1"/>
  </r>
  <r>
    <x v="205"/>
    <s v="Gastón"/>
    <x v="205"/>
    <n v="749257183"/>
    <x v="0"/>
    <x v="12"/>
    <x v="4"/>
    <n v="43.04"/>
    <x v="0"/>
    <x v="2"/>
    <x v="1"/>
  </r>
  <r>
    <x v="79"/>
    <s v="Anselmo"/>
    <x v="79"/>
    <n v="954106570"/>
    <x v="0"/>
    <x v="223"/>
    <x v="10"/>
    <n v="1780.37"/>
    <x v="0"/>
    <x v="2"/>
    <x v="1"/>
  </r>
  <r>
    <x v="206"/>
    <s v="Samuel"/>
    <x v="206"/>
    <n v="732119992"/>
    <x v="0"/>
    <x v="224"/>
    <x v="4"/>
    <n v="940.93"/>
    <x v="0"/>
    <x v="2"/>
    <x v="0"/>
  </r>
  <r>
    <x v="207"/>
    <s v="Carmela"/>
    <x v="207"/>
    <n v="731844990"/>
    <x v="1"/>
    <x v="5"/>
    <x v="3"/>
    <n v="1203.3"/>
    <x v="0"/>
    <x v="2"/>
    <x v="1"/>
  </r>
  <r>
    <x v="208"/>
    <s v="Sarita"/>
    <x v="208"/>
    <n v="748297259"/>
    <x v="0"/>
    <x v="225"/>
    <x v="11"/>
    <n v="690.96"/>
    <x v="0"/>
    <x v="4"/>
    <x v="1"/>
  </r>
  <r>
    <x v="209"/>
    <s v="Eli"/>
    <x v="209"/>
    <n v="726664477"/>
    <x v="0"/>
    <x v="201"/>
    <x v="19"/>
    <n v="64.14"/>
    <x v="0"/>
    <x v="2"/>
    <x v="1"/>
  </r>
  <r>
    <x v="210"/>
    <s v="Silvio"/>
    <x v="210"/>
    <n v="720839974"/>
    <x v="0"/>
    <x v="122"/>
    <x v="20"/>
    <n v="1222.48"/>
    <x v="0"/>
    <x v="2"/>
    <x v="1"/>
  </r>
  <r>
    <x v="211"/>
    <s v="Ángeles"/>
    <x v="211"/>
    <n v="609318534"/>
    <x v="0"/>
    <x v="226"/>
    <x v="20"/>
    <n v="872.08"/>
    <x v="2"/>
    <x v="2"/>
    <x v="1"/>
  </r>
  <r>
    <x v="212"/>
    <s v="Andrea"/>
    <x v="212"/>
    <n v="803943952"/>
    <x v="2"/>
    <x v="193"/>
    <x v="4"/>
    <n v="1498.91"/>
    <x v="2"/>
    <x v="1"/>
    <x v="0"/>
  </r>
  <r>
    <x v="29"/>
    <s v="Sebastián"/>
    <x v="29"/>
    <n v="727899933"/>
    <x v="1"/>
    <x v="227"/>
    <x v="8"/>
    <n v="1160.69"/>
    <x v="0"/>
    <x v="3"/>
    <x v="0"/>
  </r>
  <r>
    <x v="213"/>
    <s v="Candelaria"/>
    <x v="213"/>
    <n v="630066094"/>
    <x v="0"/>
    <x v="228"/>
    <x v="6"/>
    <n v="1647.5"/>
    <x v="0"/>
    <x v="3"/>
    <x v="1"/>
  </r>
  <r>
    <x v="82"/>
    <s v="José Luis"/>
    <x v="82"/>
    <n v="703546596"/>
    <x v="1"/>
    <x v="229"/>
    <x v="9"/>
    <n v="114.02"/>
    <x v="0"/>
    <x v="3"/>
    <x v="0"/>
  </r>
  <r>
    <x v="192"/>
    <s v="Nayara"/>
    <x v="192"/>
    <n v="725966550"/>
    <x v="0"/>
    <x v="230"/>
    <x v="6"/>
    <n v="650.66"/>
    <x v="0"/>
    <x v="0"/>
    <x v="1"/>
  </r>
  <r>
    <x v="164"/>
    <s v="Aránzazu"/>
    <x v="164"/>
    <n v="679029843"/>
    <x v="2"/>
    <x v="231"/>
    <x v="14"/>
    <n v="737.26"/>
    <x v="0"/>
    <x v="3"/>
    <x v="0"/>
  </r>
  <r>
    <x v="214"/>
    <s v="Ignacio"/>
    <x v="214"/>
    <n v="648175517"/>
    <x v="1"/>
    <x v="128"/>
    <x v="23"/>
    <n v="991.75"/>
    <x v="0"/>
    <x v="4"/>
    <x v="0"/>
  </r>
  <r>
    <x v="133"/>
    <s v="Gaspar"/>
    <x v="133"/>
    <n v="734216317"/>
    <x v="0"/>
    <x v="232"/>
    <x v="14"/>
    <n v="69.31"/>
    <x v="2"/>
    <x v="3"/>
    <x v="1"/>
  </r>
  <r>
    <x v="215"/>
    <s v="Curro"/>
    <x v="215"/>
    <n v="728307481"/>
    <x v="0"/>
    <x v="233"/>
    <x v="3"/>
    <n v="44.21"/>
    <x v="0"/>
    <x v="2"/>
    <x v="1"/>
  </r>
  <r>
    <x v="216"/>
    <s v="Ramón"/>
    <x v="216"/>
    <n v="733766125"/>
    <x v="0"/>
    <x v="230"/>
    <x v="1"/>
    <n v="1042.46"/>
    <x v="0"/>
    <x v="1"/>
    <x v="1"/>
  </r>
  <r>
    <x v="217"/>
    <s v="Sarita"/>
    <x v="217"/>
    <n v="621081475"/>
    <x v="1"/>
    <x v="91"/>
    <x v="5"/>
    <n v="1980.95"/>
    <x v="0"/>
    <x v="3"/>
    <x v="1"/>
  </r>
  <r>
    <x v="218"/>
    <s v="Leonardo"/>
    <x v="218"/>
    <n v="704650325"/>
    <x v="2"/>
    <x v="212"/>
    <x v="11"/>
    <n v="290.89"/>
    <x v="0"/>
    <x v="0"/>
    <x v="1"/>
  </r>
  <r>
    <x v="219"/>
    <s v="Perlita"/>
    <x v="219"/>
    <n v="690754330"/>
    <x v="0"/>
    <x v="234"/>
    <x v="4"/>
    <n v="705.09"/>
    <x v="2"/>
    <x v="1"/>
    <x v="1"/>
  </r>
  <r>
    <x v="88"/>
    <s v="Alexandra"/>
    <x v="88"/>
    <n v="701371902"/>
    <x v="0"/>
    <x v="235"/>
    <x v="22"/>
    <n v="157.69"/>
    <x v="0"/>
    <x v="2"/>
    <x v="1"/>
  </r>
  <r>
    <x v="186"/>
    <s v="Mohamed"/>
    <x v="186"/>
    <n v="741558653"/>
    <x v="0"/>
    <x v="178"/>
    <x v="3"/>
    <n v="481.07"/>
    <x v="0"/>
    <x v="0"/>
    <x v="1"/>
  </r>
  <r>
    <x v="220"/>
    <s v="Simón"/>
    <x v="220"/>
    <n v="728581458"/>
    <x v="0"/>
    <x v="236"/>
    <x v="11"/>
    <n v="1384.43"/>
    <x v="0"/>
    <x v="1"/>
    <x v="1"/>
  </r>
  <r>
    <x v="5"/>
    <s v="Goyo"/>
    <x v="5"/>
    <n v="733868257"/>
    <x v="1"/>
    <x v="237"/>
    <x v="1"/>
    <n v="1553.49"/>
    <x v="0"/>
    <x v="3"/>
    <x v="0"/>
  </r>
  <r>
    <x v="221"/>
    <s v="Josep"/>
    <x v="221"/>
    <n v="707057282"/>
    <x v="2"/>
    <x v="236"/>
    <x v="19"/>
    <n v="500.91"/>
    <x v="2"/>
    <x v="1"/>
    <x v="1"/>
  </r>
  <r>
    <x v="222"/>
    <s v="Andrea"/>
    <x v="222"/>
    <n v="740872409"/>
    <x v="1"/>
    <x v="238"/>
    <x v="13"/>
    <n v="1421.22"/>
    <x v="0"/>
    <x v="3"/>
    <x v="1"/>
  </r>
  <r>
    <x v="223"/>
    <s v="Baudelio"/>
    <x v="223"/>
    <n v="924134952"/>
    <x v="1"/>
    <x v="239"/>
    <x v="0"/>
    <n v="289.08999999999997"/>
    <x v="0"/>
    <x v="3"/>
    <x v="1"/>
  </r>
  <r>
    <x v="68"/>
    <s v="Jose Manuel"/>
    <x v="68"/>
    <n v="747024959"/>
    <x v="1"/>
    <x v="240"/>
    <x v="13"/>
    <n v="543.98"/>
    <x v="0"/>
    <x v="3"/>
    <x v="0"/>
  </r>
  <r>
    <x v="84"/>
    <s v="Daniel"/>
    <x v="84"/>
    <n v="733027275"/>
    <x v="1"/>
    <x v="241"/>
    <x v="17"/>
    <n v="20.11"/>
    <x v="0"/>
    <x v="3"/>
    <x v="0"/>
  </r>
  <r>
    <x v="70"/>
    <s v="Olalla"/>
    <x v="70"/>
    <n v="701055024"/>
    <x v="0"/>
    <x v="242"/>
    <x v="18"/>
    <n v="431.72"/>
    <x v="0"/>
    <x v="2"/>
    <x v="0"/>
  </r>
  <r>
    <x v="224"/>
    <s v="Mateo"/>
    <x v="224"/>
    <n v="651438049"/>
    <x v="0"/>
    <x v="191"/>
    <x v="11"/>
    <n v="1948.2"/>
    <x v="0"/>
    <x v="2"/>
    <x v="1"/>
  </r>
  <r>
    <x v="216"/>
    <s v="Ramón"/>
    <x v="216"/>
    <n v="733766125"/>
    <x v="0"/>
    <x v="243"/>
    <x v="1"/>
    <n v="764.91"/>
    <x v="0"/>
    <x v="3"/>
    <x v="0"/>
  </r>
  <r>
    <x v="225"/>
    <s v="Maximiliano"/>
    <x v="225"/>
    <n v="644562274"/>
    <x v="0"/>
    <x v="244"/>
    <x v="1"/>
    <n v="1952.02"/>
    <x v="1"/>
    <x v="2"/>
    <x v="0"/>
  </r>
  <r>
    <x v="226"/>
    <s v="Luciana"/>
    <x v="226"/>
    <n v="748416256"/>
    <x v="0"/>
    <x v="115"/>
    <x v="2"/>
    <n v="1657.36"/>
    <x v="0"/>
    <x v="1"/>
    <x v="0"/>
  </r>
  <r>
    <x v="227"/>
    <s v="Carina"/>
    <x v="227"/>
    <n v="742875737"/>
    <x v="0"/>
    <x v="245"/>
    <x v="4"/>
    <n v="837.56"/>
    <x v="0"/>
    <x v="1"/>
    <x v="1"/>
  </r>
  <r>
    <x v="160"/>
    <s v="Leoncio"/>
    <x v="160"/>
    <n v="726605821"/>
    <x v="1"/>
    <x v="246"/>
    <x v="19"/>
    <n v="1404.6"/>
    <x v="0"/>
    <x v="4"/>
    <x v="0"/>
  </r>
  <r>
    <x v="228"/>
    <s v="Anastasio"/>
    <x v="228"/>
    <n v="728737230"/>
    <x v="1"/>
    <x v="247"/>
    <x v="13"/>
    <n v="558.54"/>
    <x v="0"/>
    <x v="0"/>
    <x v="1"/>
  </r>
  <r>
    <x v="229"/>
    <s v="Lucas"/>
    <x v="229"/>
    <n v="741519428"/>
    <x v="0"/>
    <x v="248"/>
    <x v="11"/>
    <n v="171.59"/>
    <x v="0"/>
    <x v="2"/>
    <x v="0"/>
  </r>
  <r>
    <x v="140"/>
    <s v="Socorro"/>
    <x v="140"/>
    <n v="708352673"/>
    <x v="0"/>
    <x v="82"/>
    <x v="3"/>
    <n v="857.91"/>
    <x v="0"/>
    <x v="2"/>
    <x v="1"/>
  </r>
  <r>
    <x v="230"/>
    <s v="Adelaida"/>
    <x v="230"/>
    <n v="680373214"/>
    <x v="0"/>
    <x v="249"/>
    <x v="5"/>
    <n v="941.64"/>
    <x v="0"/>
    <x v="2"/>
    <x v="0"/>
  </r>
  <r>
    <x v="231"/>
    <s v="Azucena"/>
    <x v="231"/>
    <n v="907022641"/>
    <x v="0"/>
    <x v="7"/>
    <x v="5"/>
    <n v="1555.94"/>
    <x v="0"/>
    <x v="4"/>
    <x v="1"/>
  </r>
  <r>
    <x v="232"/>
    <s v="Victorino"/>
    <x v="232"/>
    <n v="728299934"/>
    <x v="0"/>
    <x v="19"/>
    <x v="23"/>
    <n v="988.63"/>
    <x v="0"/>
    <x v="3"/>
    <x v="1"/>
  </r>
  <r>
    <x v="208"/>
    <s v="Sarita"/>
    <x v="208"/>
    <n v="748297259"/>
    <x v="0"/>
    <x v="250"/>
    <x v="11"/>
    <n v="95.51"/>
    <x v="0"/>
    <x v="1"/>
    <x v="0"/>
  </r>
  <r>
    <x v="233"/>
    <s v="Narciso"/>
    <x v="233"/>
    <n v="707714744"/>
    <x v="2"/>
    <x v="251"/>
    <x v="9"/>
    <n v="1862.93"/>
    <x v="0"/>
    <x v="3"/>
    <x v="0"/>
  </r>
  <r>
    <x v="234"/>
    <s v="Felix"/>
    <x v="234"/>
    <n v="741356026"/>
    <x v="0"/>
    <x v="154"/>
    <x v="15"/>
    <n v="1748.85"/>
    <x v="0"/>
    <x v="2"/>
    <x v="1"/>
  </r>
  <r>
    <x v="215"/>
    <s v="Curro"/>
    <x v="215"/>
    <n v="728307481"/>
    <x v="0"/>
    <x v="67"/>
    <x v="3"/>
    <n v="693.25"/>
    <x v="0"/>
    <x v="1"/>
    <x v="1"/>
  </r>
  <r>
    <x v="35"/>
    <s v="Álvaro"/>
    <x v="35"/>
    <n v="888046669"/>
    <x v="1"/>
    <x v="222"/>
    <x v="8"/>
    <n v="1922.18"/>
    <x v="0"/>
    <x v="3"/>
    <x v="1"/>
  </r>
  <r>
    <x v="235"/>
    <s v="Rosa María"/>
    <x v="235"/>
    <n v="725307458"/>
    <x v="0"/>
    <x v="252"/>
    <x v="15"/>
    <n v="545.24"/>
    <x v="0"/>
    <x v="1"/>
    <x v="1"/>
  </r>
  <r>
    <x v="27"/>
    <s v="Maite"/>
    <x v="27"/>
    <n v="723510058"/>
    <x v="1"/>
    <x v="253"/>
    <x v="14"/>
    <n v="10.27"/>
    <x v="0"/>
    <x v="3"/>
    <x v="1"/>
  </r>
  <r>
    <x v="85"/>
    <s v="Débora"/>
    <x v="85"/>
    <n v="730479253"/>
    <x v="1"/>
    <x v="254"/>
    <x v="8"/>
    <n v="584.36"/>
    <x v="1"/>
    <x v="1"/>
    <x v="1"/>
  </r>
  <r>
    <x v="236"/>
    <s v="María Carmen"/>
    <x v="236"/>
    <n v="738611121"/>
    <x v="0"/>
    <x v="255"/>
    <x v="16"/>
    <n v="1337.14"/>
    <x v="1"/>
    <x v="1"/>
    <x v="1"/>
  </r>
  <r>
    <x v="237"/>
    <s v="Isidro"/>
    <x v="237"/>
    <n v="645035419"/>
    <x v="0"/>
    <x v="256"/>
    <x v="19"/>
    <n v="245.85"/>
    <x v="0"/>
    <x v="2"/>
    <x v="1"/>
  </r>
  <r>
    <x v="171"/>
    <s v="Manolo"/>
    <x v="171"/>
    <n v="859523189"/>
    <x v="0"/>
    <x v="222"/>
    <x v="17"/>
    <n v="1673.74"/>
    <x v="0"/>
    <x v="2"/>
    <x v="1"/>
  </r>
  <r>
    <x v="238"/>
    <s v="Magdalena"/>
    <x v="238"/>
    <n v="650924818"/>
    <x v="1"/>
    <x v="257"/>
    <x v="17"/>
    <n v="1247.3900000000001"/>
    <x v="0"/>
    <x v="3"/>
    <x v="1"/>
  </r>
  <r>
    <x v="120"/>
    <s v="Cipriano"/>
    <x v="120"/>
    <n v="708260146"/>
    <x v="2"/>
    <x v="164"/>
    <x v="6"/>
    <n v="789.31"/>
    <x v="0"/>
    <x v="2"/>
    <x v="0"/>
  </r>
  <r>
    <x v="10"/>
    <s v="Samanta"/>
    <x v="10"/>
    <n v="740994031"/>
    <x v="1"/>
    <x v="223"/>
    <x v="4"/>
    <n v="1471.5"/>
    <x v="0"/>
    <x v="5"/>
    <x v="0"/>
  </r>
  <r>
    <x v="132"/>
    <s v="Nacho"/>
    <x v="132"/>
    <n v="704058112"/>
    <x v="1"/>
    <x v="45"/>
    <x v="0"/>
    <n v="836.58"/>
    <x v="0"/>
    <x v="3"/>
    <x v="0"/>
  </r>
  <r>
    <x v="239"/>
    <s v="Estela"/>
    <x v="239"/>
    <n v="722992018"/>
    <x v="0"/>
    <x v="15"/>
    <x v="12"/>
    <n v="1671.64"/>
    <x v="0"/>
    <x v="3"/>
    <x v="1"/>
  </r>
  <r>
    <x v="4"/>
    <s v="Manuel"/>
    <x v="4"/>
    <n v="722114878"/>
    <x v="0"/>
    <x v="81"/>
    <x v="4"/>
    <n v="968.47"/>
    <x v="0"/>
    <x v="5"/>
    <x v="1"/>
  </r>
  <r>
    <x v="240"/>
    <s v="Guiomar"/>
    <x v="240"/>
    <n v="718475072"/>
    <x v="1"/>
    <x v="11"/>
    <x v="9"/>
    <n v="614.21"/>
    <x v="0"/>
    <x v="3"/>
    <x v="0"/>
  </r>
  <r>
    <x v="241"/>
    <s v="Jaime"/>
    <x v="241"/>
    <n v="708355930"/>
    <x v="0"/>
    <x v="60"/>
    <x v="19"/>
    <n v="1269.75"/>
    <x v="0"/>
    <x v="3"/>
    <x v="1"/>
  </r>
  <r>
    <x v="242"/>
    <s v="Liliana"/>
    <x v="242"/>
    <n v="737596279"/>
    <x v="0"/>
    <x v="258"/>
    <x v="21"/>
    <n v="610.92999999999995"/>
    <x v="0"/>
    <x v="3"/>
    <x v="0"/>
  </r>
  <r>
    <x v="243"/>
    <s v="Loreto"/>
    <x v="243"/>
    <n v="723693491"/>
    <x v="0"/>
    <x v="259"/>
    <x v="10"/>
    <n v="821.19"/>
    <x v="0"/>
    <x v="2"/>
    <x v="0"/>
  </r>
  <r>
    <x v="41"/>
    <s v="Jaime"/>
    <x v="41"/>
    <n v="733805530"/>
    <x v="1"/>
    <x v="260"/>
    <x v="16"/>
    <n v="1055.8699999999999"/>
    <x v="1"/>
    <x v="3"/>
    <x v="0"/>
  </r>
  <r>
    <x v="92"/>
    <s v="Aarón"/>
    <x v="92"/>
    <n v="701528957"/>
    <x v="1"/>
    <x v="27"/>
    <x v="22"/>
    <n v="546.24"/>
    <x v="1"/>
    <x v="0"/>
    <x v="1"/>
  </r>
  <r>
    <x v="164"/>
    <s v="Aránzazu"/>
    <x v="164"/>
    <n v="679029843"/>
    <x v="2"/>
    <x v="261"/>
    <x v="14"/>
    <n v="831.85"/>
    <x v="0"/>
    <x v="1"/>
    <x v="1"/>
  </r>
  <r>
    <x v="137"/>
    <s v="Lola"/>
    <x v="137"/>
    <n v="813178789"/>
    <x v="1"/>
    <x v="262"/>
    <x v="7"/>
    <n v="1539.89"/>
    <x v="0"/>
    <x v="5"/>
    <x v="0"/>
  </r>
  <r>
    <x v="191"/>
    <s v="Primitiva"/>
    <x v="191"/>
    <n v="887900324"/>
    <x v="0"/>
    <x v="263"/>
    <x v="19"/>
    <n v="1776.28"/>
    <x v="0"/>
    <x v="2"/>
    <x v="0"/>
  </r>
  <r>
    <x v="81"/>
    <s v="Pepito"/>
    <x v="81"/>
    <n v="859697886"/>
    <x v="0"/>
    <x v="264"/>
    <x v="12"/>
    <n v="1221.46"/>
    <x v="0"/>
    <x v="1"/>
    <x v="0"/>
  </r>
  <r>
    <x v="244"/>
    <s v="Bautista"/>
    <x v="244"/>
    <n v="714298563"/>
    <x v="0"/>
    <x v="265"/>
    <x v="16"/>
    <n v="618.71"/>
    <x v="0"/>
    <x v="2"/>
    <x v="1"/>
  </r>
  <r>
    <x v="245"/>
    <s v="Cornelio"/>
    <x v="245"/>
    <n v="744201404"/>
    <x v="0"/>
    <x v="266"/>
    <x v="20"/>
    <n v="995.15"/>
    <x v="0"/>
    <x v="0"/>
    <x v="1"/>
  </r>
  <r>
    <x v="246"/>
    <s v="Reyna"/>
    <x v="246"/>
    <n v="717190176"/>
    <x v="0"/>
    <x v="113"/>
    <x v="0"/>
    <n v="1396.36"/>
    <x v="0"/>
    <x v="4"/>
    <x v="1"/>
  </r>
  <r>
    <x v="101"/>
    <s v="Felix"/>
    <x v="101"/>
    <n v="749804420"/>
    <x v="1"/>
    <x v="207"/>
    <x v="23"/>
    <n v="1880.52"/>
    <x v="0"/>
    <x v="3"/>
    <x v="0"/>
  </r>
  <r>
    <x v="184"/>
    <s v="Matilde"/>
    <x v="184"/>
    <n v="716908291"/>
    <x v="0"/>
    <x v="267"/>
    <x v="9"/>
    <n v="1235.8800000000001"/>
    <x v="0"/>
    <x v="2"/>
    <x v="0"/>
  </r>
  <r>
    <x v="247"/>
    <s v="Guadalupe"/>
    <x v="247"/>
    <n v="712646789"/>
    <x v="0"/>
    <x v="268"/>
    <x v="18"/>
    <n v="1376.37"/>
    <x v="1"/>
    <x v="3"/>
    <x v="0"/>
  </r>
  <r>
    <x v="248"/>
    <s v="Fabián"/>
    <x v="248"/>
    <n v="728722101"/>
    <x v="0"/>
    <x v="269"/>
    <x v="3"/>
    <n v="1931.26"/>
    <x v="0"/>
    <x v="0"/>
    <x v="0"/>
  </r>
  <r>
    <x v="82"/>
    <s v="José Luis"/>
    <x v="82"/>
    <n v="703546596"/>
    <x v="1"/>
    <x v="51"/>
    <x v="9"/>
    <n v="1004.87"/>
    <x v="0"/>
    <x v="3"/>
    <x v="0"/>
  </r>
  <r>
    <x v="249"/>
    <s v="Macaria"/>
    <x v="249"/>
    <n v="740348016"/>
    <x v="0"/>
    <x v="262"/>
    <x v="17"/>
    <n v="52.67"/>
    <x v="0"/>
    <x v="1"/>
    <x v="1"/>
  </r>
  <r>
    <x v="250"/>
    <s v="María Dolores"/>
    <x v="250"/>
    <n v="746027757"/>
    <x v="1"/>
    <x v="270"/>
    <x v="12"/>
    <n v="687.68"/>
    <x v="1"/>
    <x v="3"/>
    <x v="1"/>
  </r>
  <r>
    <x v="251"/>
    <s v="Yéssica"/>
    <x v="251"/>
    <n v="933910652"/>
    <x v="1"/>
    <x v="271"/>
    <x v="7"/>
    <n v="1299.6199999999999"/>
    <x v="0"/>
    <x v="1"/>
    <x v="1"/>
  </r>
  <r>
    <x v="171"/>
    <s v="Manolo"/>
    <x v="171"/>
    <n v="859523189"/>
    <x v="0"/>
    <x v="69"/>
    <x v="17"/>
    <n v="596.73"/>
    <x v="0"/>
    <x v="2"/>
    <x v="1"/>
  </r>
  <r>
    <x v="252"/>
    <s v="Fabián"/>
    <x v="252"/>
    <n v="741931466"/>
    <x v="1"/>
    <x v="272"/>
    <x v="7"/>
    <n v="412.26"/>
    <x v="0"/>
    <x v="1"/>
    <x v="1"/>
  </r>
  <r>
    <x v="210"/>
    <s v="Silvio"/>
    <x v="210"/>
    <n v="720839974"/>
    <x v="0"/>
    <x v="273"/>
    <x v="20"/>
    <n v="1486.1"/>
    <x v="0"/>
    <x v="3"/>
    <x v="0"/>
  </r>
  <r>
    <x v="253"/>
    <s v="Lázaro"/>
    <x v="253"/>
    <n v="721073574"/>
    <x v="1"/>
    <x v="274"/>
    <x v="14"/>
    <n v="682.05"/>
    <x v="2"/>
    <x v="3"/>
    <x v="0"/>
  </r>
  <r>
    <x v="254"/>
    <s v="Jose Ramón"/>
    <x v="254"/>
    <n v="745024306"/>
    <x v="0"/>
    <x v="275"/>
    <x v="20"/>
    <n v="1351.56"/>
    <x v="1"/>
    <x v="1"/>
    <x v="0"/>
  </r>
  <r>
    <x v="150"/>
    <s v="Rogelio"/>
    <x v="150"/>
    <n v="702416899"/>
    <x v="1"/>
    <x v="276"/>
    <x v="1"/>
    <n v="1311.77"/>
    <x v="0"/>
    <x v="4"/>
    <x v="1"/>
  </r>
  <r>
    <x v="255"/>
    <s v="Pascuala"/>
    <x v="255"/>
    <n v="974517676"/>
    <x v="0"/>
    <x v="277"/>
    <x v="14"/>
    <n v="398.95"/>
    <x v="0"/>
    <x v="2"/>
    <x v="0"/>
  </r>
  <r>
    <x v="256"/>
    <s v="Rafaela"/>
    <x v="256"/>
    <n v="725944347"/>
    <x v="1"/>
    <x v="278"/>
    <x v="4"/>
    <n v="1547.46"/>
    <x v="0"/>
    <x v="1"/>
    <x v="1"/>
  </r>
  <r>
    <x v="257"/>
    <s v="Ruperto"/>
    <x v="257"/>
    <n v="854810022"/>
    <x v="1"/>
    <x v="279"/>
    <x v="12"/>
    <n v="1499.28"/>
    <x v="0"/>
    <x v="4"/>
    <x v="1"/>
  </r>
  <r>
    <x v="244"/>
    <s v="Bautista"/>
    <x v="244"/>
    <n v="714298563"/>
    <x v="0"/>
    <x v="280"/>
    <x v="16"/>
    <n v="793.49"/>
    <x v="1"/>
    <x v="1"/>
    <x v="0"/>
  </r>
  <r>
    <x v="9"/>
    <s v="Laura"/>
    <x v="9"/>
    <n v="735998025"/>
    <x v="0"/>
    <x v="45"/>
    <x v="6"/>
    <n v="568.97"/>
    <x v="0"/>
    <x v="2"/>
    <x v="1"/>
  </r>
  <r>
    <x v="225"/>
    <s v="Maximiliano"/>
    <x v="225"/>
    <n v="644562274"/>
    <x v="0"/>
    <x v="265"/>
    <x v="1"/>
    <n v="959.06"/>
    <x v="0"/>
    <x v="1"/>
    <x v="1"/>
  </r>
  <r>
    <x v="67"/>
    <s v="Bernarda"/>
    <x v="67"/>
    <n v="747410141"/>
    <x v="0"/>
    <x v="281"/>
    <x v="2"/>
    <n v="1739.19"/>
    <x v="0"/>
    <x v="2"/>
    <x v="1"/>
  </r>
  <r>
    <x v="258"/>
    <s v="Carla"/>
    <x v="258"/>
    <n v="706401025"/>
    <x v="0"/>
    <x v="282"/>
    <x v="4"/>
    <n v="835.84"/>
    <x v="2"/>
    <x v="2"/>
    <x v="0"/>
  </r>
  <r>
    <x v="216"/>
    <s v="Ramón"/>
    <x v="216"/>
    <n v="733766125"/>
    <x v="0"/>
    <x v="283"/>
    <x v="1"/>
    <n v="1813.16"/>
    <x v="0"/>
    <x v="0"/>
    <x v="1"/>
  </r>
  <r>
    <x v="259"/>
    <s v="Petrona"/>
    <x v="259"/>
    <n v="733394756"/>
    <x v="1"/>
    <x v="128"/>
    <x v="19"/>
    <n v="902.67"/>
    <x v="0"/>
    <x v="4"/>
    <x v="0"/>
  </r>
  <r>
    <x v="260"/>
    <s v="Tomasa"/>
    <x v="260"/>
    <n v="738722817"/>
    <x v="0"/>
    <x v="284"/>
    <x v="23"/>
    <n v="1106.57"/>
    <x v="0"/>
    <x v="2"/>
    <x v="0"/>
  </r>
  <r>
    <x v="261"/>
    <s v="Jenny"/>
    <x v="261"/>
    <n v="678540300"/>
    <x v="0"/>
    <x v="285"/>
    <x v="6"/>
    <n v="1287.58"/>
    <x v="0"/>
    <x v="1"/>
    <x v="0"/>
  </r>
  <r>
    <x v="231"/>
    <s v="Azucena"/>
    <x v="231"/>
    <n v="907022641"/>
    <x v="0"/>
    <x v="286"/>
    <x v="5"/>
    <n v="518.92999999999995"/>
    <x v="0"/>
    <x v="2"/>
    <x v="1"/>
  </r>
  <r>
    <x v="208"/>
    <s v="Sarita"/>
    <x v="208"/>
    <n v="748297259"/>
    <x v="0"/>
    <x v="287"/>
    <x v="11"/>
    <n v="828.11"/>
    <x v="0"/>
    <x v="2"/>
    <x v="1"/>
  </r>
  <r>
    <x v="262"/>
    <s v="Nuria"/>
    <x v="262"/>
    <n v="804914249"/>
    <x v="0"/>
    <x v="244"/>
    <x v="2"/>
    <n v="415.7"/>
    <x v="0"/>
    <x v="0"/>
    <x v="1"/>
  </r>
  <r>
    <x v="263"/>
    <s v="Rodrigo"/>
    <x v="263"/>
    <n v="689640017"/>
    <x v="0"/>
    <x v="276"/>
    <x v="15"/>
    <n v="368.81"/>
    <x v="1"/>
    <x v="3"/>
    <x v="0"/>
  </r>
  <r>
    <x v="71"/>
    <s v="Régulo"/>
    <x v="71"/>
    <n v="841231253"/>
    <x v="0"/>
    <x v="61"/>
    <x v="10"/>
    <n v="745.34"/>
    <x v="0"/>
    <x v="3"/>
    <x v="1"/>
  </r>
  <r>
    <x v="264"/>
    <s v="Raimundo"/>
    <x v="264"/>
    <n v="731372618"/>
    <x v="0"/>
    <x v="1"/>
    <x v="2"/>
    <n v="1967.33"/>
    <x v="0"/>
    <x v="2"/>
    <x v="0"/>
  </r>
  <r>
    <x v="265"/>
    <s v="Anabel"/>
    <x v="265"/>
    <n v="721566153"/>
    <x v="0"/>
    <x v="288"/>
    <x v="11"/>
    <n v="632.29"/>
    <x v="0"/>
    <x v="2"/>
    <x v="1"/>
  </r>
  <r>
    <x v="50"/>
    <s v="Brunilda"/>
    <x v="50"/>
    <n v="715742102"/>
    <x v="0"/>
    <x v="289"/>
    <x v="6"/>
    <n v="25.76"/>
    <x v="0"/>
    <x v="2"/>
    <x v="1"/>
  </r>
  <r>
    <x v="266"/>
    <s v="Maricela"/>
    <x v="266"/>
    <n v="721979865"/>
    <x v="0"/>
    <x v="290"/>
    <x v="18"/>
    <n v="1279.9100000000001"/>
    <x v="0"/>
    <x v="3"/>
    <x v="1"/>
  </r>
  <r>
    <x v="133"/>
    <s v="Gaspar"/>
    <x v="133"/>
    <n v="734216317"/>
    <x v="0"/>
    <x v="291"/>
    <x v="14"/>
    <n v="400.27"/>
    <x v="0"/>
    <x v="0"/>
    <x v="0"/>
  </r>
  <r>
    <x v="118"/>
    <s v="Vidal"/>
    <x v="118"/>
    <n v="749984420"/>
    <x v="0"/>
    <x v="292"/>
    <x v="18"/>
    <n v="1611"/>
    <x v="0"/>
    <x v="1"/>
    <x v="1"/>
  </r>
  <r>
    <x v="143"/>
    <s v="Benita"/>
    <x v="143"/>
    <n v="742193948"/>
    <x v="0"/>
    <x v="73"/>
    <x v="19"/>
    <n v="359.45"/>
    <x v="1"/>
    <x v="2"/>
    <x v="0"/>
  </r>
  <r>
    <x v="267"/>
    <s v="Eufemia"/>
    <x v="267"/>
    <n v="724525701"/>
    <x v="0"/>
    <x v="69"/>
    <x v="22"/>
    <n v="652.32000000000005"/>
    <x v="0"/>
    <x v="3"/>
    <x v="1"/>
  </r>
  <r>
    <x v="268"/>
    <s v="Nicolás"/>
    <x v="268"/>
    <n v="703991673"/>
    <x v="1"/>
    <x v="293"/>
    <x v="16"/>
    <n v="394.06"/>
    <x v="0"/>
    <x v="1"/>
    <x v="1"/>
  </r>
  <r>
    <x v="269"/>
    <s v="Coral"/>
    <x v="269"/>
    <n v="738803125"/>
    <x v="0"/>
    <x v="294"/>
    <x v="1"/>
    <n v="1367.67"/>
    <x v="1"/>
    <x v="0"/>
    <x v="0"/>
  </r>
  <r>
    <x v="270"/>
    <s v="Saturnino"/>
    <x v="270"/>
    <n v="961014302"/>
    <x v="1"/>
    <x v="204"/>
    <x v="23"/>
    <n v="283.7"/>
    <x v="1"/>
    <x v="3"/>
    <x v="1"/>
  </r>
  <r>
    <x v="154"/>
    <s v="Angelino"/>
    <x v="154"/>
    <n v="958161330"/>
    <x v="2"/>
    <x v="295"/>
    <x v="11"/>
    <n v="1518.6"/>
    <x v="0"/>
    <x v="0"/>
    <x v="1"/>
  </r>
  <r>
    <x v="198"/>
    <s v="Ligia"/>
    <x v="198"/>
    <n v="720195198"/>
    <x v="1"/>
    <x v="296"/>
    <x v="18"/>
    <n v="1283.3699999999999"/>
    <x v="0"/>
    <x v="3"/>
    <x v="0"/>
  </r>
  <r>
    <x v="59"/>
    <s v="Clemente"/>
    <x v="59"/>
    <n v="744517295"/>
    <x v="1"/>
    <x v="297"/>
    <x v="7"/>
    <n v="1224.5"/>
    <x v="1"/>
    <x v="2"/>
    <x v="1"/>
  </r>
  <r>
    <x v="271"/>
    <s v="Eustaquio"/>
    <x v="271"/>
    <n v="975321341"/>
    <x v="0"/>
    <x v="229"/>
    <x v="9"/>
    <n v="1427.22"/>
    <x v="0"/>
    <x v="4"/>
    <x v="1"/>
  </r>
  <r>
    <x v="29"/>
    <s v="Sebastián"/>
    <x v="29"/>
    <n v="727899933"/>
    <x v="1"/>
    <x v="6"/>
    <x v="8"/>
    <n v="338.75"/>
    <x v="0"/>
    <x v="3"/>
    <x v="1"/>
  </r>
  <r>
    <x v="272"/>
    <s v="Iris"/>
    <x v="272"/>
    <n v="738604456"/>
    <x v="0"/>
    <x v="25"/>
    <x v="21"/>
    <n v="654.17999999999995"/>
    <x v="0"/>
    <x v="1"/>
    <x v="1"/>
  </r>
  <r>
    <x v="80"/>
    <s v="Leonel"/>
    <x v="80"/>
    <n v="816160530"/>
    <x v="1"/>
    <x v="20"/>
    <x v="19"/>
    <n v="1666.24"/>
    <x v="0"/>
    <x v="1"/>
    <x v="1"/>
  </r>
  <r>
    <x v="251"/>
    <s v="Yéssica"/>
    <x v="251"/>
    <n v="933910652"/>
    <x v="1"/>
    <x v="276"/>
    <x v="7"/>
    <n v="482.09"/>
    <x v="1"/>
    <x v="3"/>
    <x v="1"/>
  </r>
  <r>
    <x v="273"/>
    <s v="Ligia"/>
    <x v="273"/>
    <n v="721305080"/>
    <x v="2"/>
    <x v="212"/>
    <x v="22"/>
    <n v="891.55"/>
    <x v="0"/>
    <x v="3"/>
    <x v="0"/>
  </r>
  <r>
    <x v="207"/>
    <s v="Carmela"/>
    <x v="207"/>
    <n v="731844990"/>
    <x v="1"/>
    <x v="298"/>
    <x v="3"/>
    <n v="1477.76"/>
    <x v="0"/>
    <x v="3"/>
    <x v="1"/>
  </r>
  <r>
    <x v="184"/>
    <s v="Matilde"/>
    <x v="184"/>
    <n v="716908291"/>
    <x v="0"/>
    <x v="219"/>
    <x v="9"/>
    <n v="1276.31"/>
    <x v="0"/>
    <x v="2"/>
    <x v="1"/>
  </r>
  <r>
    <x v="274"/>
    <s v="Ainoa"/>
    <x v="274"/>
    <n v="716035669"/>
    <x v="0"/>
    <x v="224"/>
    <x v="5"/>
    <n v="307.67"/>
    <x v="0"/>
    <x v="3"/>
    <x v="0"/>
  </r>
  <r>
    <x v="275"/>
    <s v="María"/>
    <x v="275"/>
    <n v="919457468"/>
    <x v="0"/>
    <x v="299"/>
    <x v="10"/>
    <n v="1739.77"/>
    <x v="0"/>
    <x v="0"/>
    <x v="1"/>
  </r>
  <r>
    <x v="48"/>
    <s v="Flavia"/>
    <x v="48"/>
    <n v="705389520"/>
    <x v="2"/>
    <x v="187"/>
    <x v="6"/>
    <n v="680.47"/>
    <x v="0"/>
    <x v="0"/>
    <x v="0"/>
  </r>
  <r>
    <x v="276"/>
    <s v="Judith"/>
    <x v="276"/>
    <n v="734368160"/>
    <x v="0"/>
    <x v="300"/>
    <x v="6"/>
    <n v="938.65"/>
    <x v="0"/>
    <x v="3"/>
    <x v="0"/>
  </r>
  <r>
    <x v="277"/>
    <s v="Paz"/>
    <x v="277"/>
    <n v="905498813"/>
    <x v="0"/>
    <x v="301"/>
    <x v="20"/>
    <n v="1004.52"/>
    <x v="0"/>
    <x v="2"/>
    <x v="0"/>
  </r>
  <r>
    <x v="278"/>
    <s v="Anselmo"/>
    <x v="278"/>
    <n v="707111139"/>
    <x v="0"/>
    <x v="207"/>
    <x v="14"/>
    <n v="1014.61"/>
    <x v="0"/>
    <x v="4"/>
    <x v="1"/>
  </r>
  <r>
    <x v="279"/>
    <s v="Blanca"/>
    <x v="279"/>
    <n v="745520576"/>
    <x v="1"/>
    <x v="270"/>
    <x v="1"/>
    <n v="465.39"/>
    <x v="1"/>
    <x v="4"/>
    <x v="0"/>
  </r>
  <r>
    <x v="12"/>
    <s v="Custodia"/>
    <x v="12"/>
    <n v="734311637"/>
    <x v="0"/>
    <x v="302"/>
    <x v="7"/>
    <n v="1093.01"/>
    <x v="0"/>
    <x v="0"/>
    <x v="1"/>
  </r>
  <r>
    <x v="280"/>
    <s v="Lola"/>
    <x v="280"/>
    <n v="892885525"/>
    <x v="1"/>
    <x v="303"/>
    <x v="10"/>
    <n v="1912.75"/>
    <x v="2"/>
    <x v="3"/>
    <x v="1"/>
  </r>
  <r>
    <x v="257"/>
    <s v="Ruperto"/>
    <x v="257"/>
    <n v="854810022"/>
    <x v="1"/>
    <x v="304"/>
    <x v="12"/>
    <n v="1754.1"/>
    <x v="0"/>
    <x v="3"/>
    <x v="0"/>
  </r>
  <r>
    <x v="196"/>
    <s v="Primitivo"/>
    <x v="196"/>
    <n v="731359620"/>
    <x v="1"/>
    <x v="305"/>
    <x v="8"/>
    <n v="1069.5"/>
    <x v="2"/>
    <x v="1"/>
    <x v="0"/>
  </r>
  <r>
    <x v="77"/>
    <s v="Benito"/>
    <x v="77"/>
    <n v="937606933"/>
    <x v="0"/>
    <x v="92"/>
    <x v="8"/>
    <n v="1330.14"/>
    <x v="0"/>
    <x v="4"/>
    <x v="1"/>
  </r>
  <r>
    <x v="39"/>
    <s v="Pepe"/>
    <x v="39"/>
    <n v="700258650"/>
    <x v="0"/>
    <x v="306"/>
    <x v="0"/>
    <n v="428.11"/>
    <x v="0"/>
    <x v="3"/>
    <x v="1"/>
  </r>
  <r>
    <x v="281"/>
    <s v="Noé"/>
    <x v="281"/>
    <n v="888622735"/>
    <x v="1"/>
    <x v="147"/>
    <x v="16"/>
    <n v="1945.18"/>
    <x v="0"/>
    <x v="2"/>
    <x v="1"/>
  </r>
  <r>
    <x v="74"/>
    <s v="Narciso"/>
    <x v="74"/>
    <n v="738534660"/>
    <x v="1"/>
    <x v="307"/>
    <x v="18"/>
    <n v="253.54"/>
    <x v="2"/>
    <x v="4"/>
    <x v="1"/>
  </r>
  <r>
    <x v="282"/>
    <s v="Rita"/>
    <x v="282"/>
    <n v="988674084"/>
    <x v="0"/>
    <x v="176"/>
    <x v="3"/>
    <n v="1605.37"/>
    <x v="0"/>
    <x v="2"/>
    <x v="1"/>
  </r>
  <r>
    <x v="28"/>
    <s v="Pepito"/>
    <x v="28"/>
    <n v="982589898"/>
    <x v="1"/>
    <x v="277"/>
    <x v="15"/>
    <n v="1067.69"/>
    <x v="0"/>
    <x v="0"/>
    <x v="0"/>
  </r>
  <r>
    <x v="71"/>
    <s v="Régulo"/>
    <x v="71"/>
    <n v="841231253"/>
    <x v="0"/>
    <x v="308"/>
    <x v="10"/>
    <n v="356.92"/>
    <x v="0"/>
    <x v="0"/>
    <x v="0"/>
  </r>
  <r>
    <x v="283"/>
    <s v="María Fernanda"/>
    <x v="283"/>
    <n v="735892521"/>
    <x v="1"/>
    <x v="309"/>
    <x v="0"/>
    <n v="1263.4100000000001"/>
    <x v="0"/>
    <x v="1"/>
    <x v="0"/>
  </r>
  <r>
    <x v="78"/>
    <s v="Lino"/>
    <x v="78"/>
    <n v="699605788"/>
    <x v="1"/>
    <x v="299"/>
    <x v="7"/>
    <n v="546.98"/>
    <x v="0"/>
    <x v="3"/>
    <x v="0"/>
  </r>
  <r>
    <x v="100"/>
    <s v="Jose Miguel"/>
    <x v="100"/>
    <n v="717372411"/>
    <x v="0"/>
    <x v="310"/>
    <x v="3"/>
    <n v="1316.99"/>
    <x v="0"/>
    <x v="2"/>
    <x v="0"/>
  </r>
  <r>
    <x v="284"/>
    <s v="Gonzalo"/>
    <x v="284"/>
    <n v="701325298"/>
    <x v="0"/>
    <x v="311"/>
    <x v="7"/>
    <n v="392.19"/>
    <x v="0"/>
    <x v="1"/>
    <x v="1"/>
  </r>
  <r>
    <x v="25"/>
    <s v="Marcelo"/>
    <x v="25"/>
    <n v="742924464"/>
    <x v="1"/>
    <x v="160"/>
    <x v="8"/>
    <n v="1855.51"/>
    <x v="0"/>
    <x v="3"/>
    <x v="1"/>
  </r>
  <r>
    <x v="285"/>
    <s v="Emelina"/>
    <x v="285"/>
    <n v="734163439"/>
    <x v="0"/>
    <x v="312"/>
    <x v="9"/>
    <n v="19.149999999999999"/>
    <x v="0"/>
    <x v="2"/>
    <x v="1"/>
  </r>
  <r>
    <x v="43"/>
    <s v="Xiomara"/>
    <x v="43"/>
    <n v="965928716"/>
    <x v="0"/>
    <x v="313"/>
    <x v="5"/>
    <n v="508.67"/>
    <x v="0"/>
    <x v="2"/>
    <x v="1"/>
  </r>
  <r>
    <x v="181"/>
    <s v="Pelayo"/>
    <x v="181"/>
    <n v="913421545"/>
    <x v="1"/>
    <x v="314"/>
    <x v="20"/>
    <n v="542.41999999999996"/>
    <x v="0"/>
    <x v="0"/>
    <x v="1"/>
  </r>
  <r>
    <x v="154"/>
    <s v="Angelino"/>
    <x v="154"/>
    <n v="958161330"/>
    <x v="2"/>
    <x v="315"/>
    <x v="11"/>
    <n v="630.70000000000005"/>
    <x v="0"/>
    <x v="0"/>
    <x v="0"/>
  </r>
  <r>
    <x v="286"/>
    <s v="Teresa"/>
    <x v="286"/>
    <n v="635448926"/>
    <x v="1"/>
    <x v="94"/>
    <x v="16"/>
    <n v="813.14"/>
    <x v="0"/>
    <x v="0"/>
    <x v="0"/>
  </r>
  <r>
    <x v="201"/>
    <s v="Azucena"/>
    <x v="201"/>
    <n v="709339074"/>
    <x v="0"/>
    <x v="99"/>
    <x v="12"/>
    <n v="1777.55"/>
    <x v="0"/>
    <x v="1"/>
    <x v="0"/>
  </r>
  <r>
    <x v="262"/>
    <s v="Nuria"/>
    <x v="262"/>
    <n v="804914249"/>
    <x v="0"/>
    <x v="242"/>
    <x v="2"/>
    <n v="53.55"/>
    <x v="1"/>
    <x v="3"/>
    <x v="1"/>
  </r>
  <r>
    <x v="287"/>
    <s v="Felicidad"/>
    <x v="287"/>
    <n v="897963507"/>
    <x v="1"/>
    <x v="303"/>
    <x v="20"/>
    <n v="730.32"/>
    <x v="0"/>
    <x v="4"/>
    <x v="1"/>
  </r>
  <r>
    <x v="239"/>
    <s v="Estela"/>
    <x v="239"/>
    <n v="722992018"/>
    <x v="0"/>
    <x v="316"/>
    <x v="12"/>
    <n v="1148.43"/>
    <x v="0"/>
    <x v="1"/>
    <x v="0"/>
  </r>
  <r>
    <x v="288"/>
    <s v="Melisa"/>
    <x v="288"/>
    <n v="711121687"/>
    <x v="1"/>
    <x v="229"/>
    <x v="4"/>
    <n v="1320.7"/>
    <x v="1"/>
    <x v="3"/>
    <x v="1"/>
  </r>
  <r>
    <x v="233"/>
    <s v="Narciso"/>
    <x v="233"/>
    <n v="707714744"/>
    <x v="2"/>
    <x v="135"/>
    <x v="9"/>
    <n v="1546.59"/>
    <x v="0"/>
    <x v="3"/>
    <x v="0"/>
  </r>
  <r>
    <x v="203"/>
    <s v="Manu"/>
    <x v="203"/>
    <n v="739067408"/>
    <x v="0"/>
    <x v="317"/>
    <x v="12"/>
    <n v="1339.88"/>
    <x v="0"/>
    <x v="4"/>
    <x v="1"/>
  </r>
  <r>
    <x v="289"/>
    <s v="Remigio"/>
    <x v="289"/>
    <n v="747208220"/>
    <x v="1"/>
    <x v="62"/>
    <x v="23"/>
    <n v="396.65"/>
    <x v="0"/>
    <x v="3"/>
    <x v="0"/>
  </r>
  <r>
    <x v="290"/>
    <s v="Claudio"/>
    <x v="290"/>
    <n v="955471414"/>
    <x v="0"/>
    <x v="318"/>
    <x v="22"/>
    <n v="1069.8499999999999"/>
    <x v="0"/>
    <x v="2"/>
    <x v="1"/>
  </r>
  <r>
    <x v="33"/>
    <s v="Yaiza"/>
    <x v="33"/>
    <n v="813853467"/>
    <x v="0"/>
    <x v="68"/>
    <x v="13"/>
    <n v="695.76"/>
    <x v="0"/>
    <x v="2"/>
    <x v="0"/>
  </r>
  <r>
    <x v="291"/>
    <s v="Jose Manuel"/>
    <x v="291"/>
    <n v="699894729"/>
    <x v="0"/>
    <x v="239"/>
    <x v="21"/>
    <n v="1584.48"/>
    <x v="2"/>
    <x v="1"/>
    <x v="0"/>
  </r>
  <r>
    <x v="238"/>
    <s v="Magdalena"/>
    <x v="238"/>
    <n v="650924818"/>
    <x v="1"/>
    <x v="265"/>
    <x v="17"/>
    <n v="1313.8"/>
    <x v="0"/>
    <x v="3"/>
    <x v="1"/>
  </r>
  <r>
    <x v="292"/>
    <s v="Carmen"/>
    <x v="292"/>
    <n v="921591687"/>
    <x v="0"/>
    <x v="109"/>
    <x v="1"/>
    <n v="1124.47"/>
    <x v="1"/>
    <x v="2"/>
    <x v="0"/>
  </r>
  <r>
    <x v="198"/>
    <s v="Ligia"/>
    <x v="198"/>
    <n v="720195198"/>
    <x v="1"/>
    <x v="319"/>
    <x v="18"/>
    <n v="1077.81"/>
    <x v="0"/>
    <x v="3"/>
    <x v="0"/>
  </r>
  <r>
    <x v="234"/>
    <s v="Felix"/>
    <x v="234"/>
    <n v="741356026"/>
    <x v="0"/>
    <x v="320"/>
    <x v="15"/>
    <n v="1128.68"/>
    <x v="0"/>
    <x v="2"/>
    <x v="1"/>
  </r>
  <r>
    <x v="146"/>
    <s v="Lupe"/>
    <x v="146"/>
    <n v="735567153"/>
    <x v="0"/>
    <x v="226"/>
    <x v="12"/>
    <n v="1670.96"/>
    <x v="0"/>
    <x v="1"/>
    <x v="1"/>
  </r>
  <r>
    <x v="23"/>
    <s v="Maricela"/>
    <x v="23"/>
    <n v="740369847"/>
    <x v="1"/>
    <x v="321"/>
    <x v="9"/>
    <n v="1942.66"/>
    <x v="0"/>
    <x v="3"/>
    <x v="0"/>
  </r>
  <r>
    <x v="293"/>
    <s v="Toni"/>
    <x v="293"/>
    <n v="869663629"/>
    <x v="0"/>
    <x v="322"/>
    <x v="18"/>
    <n v="236.29"/>
    <x v="1"/>
    <x v="1"/>
    <x v="1"/>
  </r>
  <r>
    <x v="60"/>
    <s v="Quirino"/>
    <x v="60"/>
    <n v="739112559"/>
    <x v="0"/>
    <x v="108"/>
    <x v="8"/>
    <n v="1277.72"/>
    <x v="0"/>
    <x v="3"/>
    <x v="0"/>
  </r>
  <r>
    <x v="294"/>
    <s v="María"/>
    <x v="294"/>
    <n v="708316692"/>
    <x v="0"/>
    <x v="72"/>
    <x v="0"/>
    <n v="674.89"/>
    <x v="0"/>
    <x v="2"/>
    <x v="0"/>
  </r>
  <r>
    <x v="114"/>
    <s v="Heraclio"/>
    <x v="114"/>
    <n v="727937300"/>
    <x v="0"/>
    <x v="323"/>
    <x v="10"/>
    <n v="68.33"/>
    <x v="0"/>
    <x v="3"/>
    <x v="0"/>
  </r>
  <r>
    <x v="295"/>
    <s v="Fabiola"/>
    <x v="295"/>
    <n v="716805697"/>
    <x v="0"/>
    <x v="72"/>
    <x v="5"/>
    <n v="1349.97"/>
    <x v="0"/>
    <x v="0"/>
    <x v="1"/>
  </r>
  <r>
    <x v="120"/>
    <s v="Cipriano"/>
    <x v="120"/>
    <n v="708260146"/>
    <x v="2"/>
    <x v="324"/>
    <x v="6"/>
    <n v="1926.88"/>
    <x v="0"/>
    <x v="3"/>
    <x v="1"/>
  </r>
  <r>
    <x v="136"/>
    <s v="Nilda"/>
    <x v="136"/>
    <n v="992824041"/>
    <x v="2"/>
    <x v="325"/>
    <x v="20"/>
    <n v="1622.79"/>
    <x v="1"/>
    <x v="2"/>
    <x v="1"/>
  </r>
  <r>
    <x v="137"/>
    <s v="Lola"/>
    <x v="137"/>
    <n v="813178789"/>
    <x v="1"/>
    <x v="326"/>
    <x v="7"/>
    <n v="1138.23"/>
    <x v="0"/>
    <x v="3"/>
    <x v="0"/>
  </r>
  <r>
    <x v="296"/>
    <s v="Bonifacio"/>
    <x v="296"/>
    <n v="701661772"/>
    <x v="0"/>
    <x v="161"/>
    <x v="0"/>
    <n v="487.93"/>
    <x v="0"/>
    <x v="1"/>
    <x v="1"/>
  </r>
  <r>
    <x v="297"/>
    <s v="Clemente"/>
    <x v="297"/>
    <n v="903785899"/>
    <x v="1"/>
    <x v="327"/>
    <x v="12"/>
    <n v="1551.91"/>
    <x v="1"/>
    <x v="4"/>
    <x v="0"/>
  </r>
  <r>
    <x v="298"/>
    <s v="Zoraida"/>
    <x v="298"/>
    <n v="917893213"/>
    <x v="1"/>
    <x v="328"/>
    <x v="7"/>
    <n v="1399.7"/>
    <x v="0"/>
    <x v="0"/>
    <x v="0"/>
  </r>
  <r>
    <x v="299"/>
    <s v="Concepción"/>
    <x v="299"/>
    <n v="613863491"/>
    <x v="0"/>
    <x v="21"/>
    <x v="4"/>
    <n v="475.83"/>
    <x v="0"/>
    <x v="3"/>
    <x v="1"/>
  </r>
  <r>
    <x v="132"/>
    <s v="Nacho"/>
    <x v="132"/>
    <n v="704058112"/>
    <x v="1"/>
    <x v="167"/>
    <x v="0"/>
    <n v="254.31"/>
    <x v="0"/>
    <x v="3"/>
    <x v="0"/>
  </r>
  <r>
    <x v="300"/>
    <s v="Cintia"/>
    <x v="300"/>
    <n v="730098459"/>
    <x v="0"/>
    <x v="71"/>
    <x v="10"/>
    <n v="1950.69"/>
    <x v="0"/>
    <x v="2"/>
    <x v="0"/>
  </r>
  <r>
    <x v="301"/>
    <s v="Fidela"/>
    <x v="301"/>
    <n v="724173510"/>
    <x v="0"/>
    <x v="1"/>
    <x v="16"/>
    <n v="830.15"/>
    <x v="0"/>
    <x v="2"/>
    <x v="1"/>
  </r>
  <r>
    <x v="302"/>
    <s v="Bernabé"/>
    <x v="302"/>
    <n v="996279256"/>
    <x v="0"/>
    <x v="329"/>
    <x v="15"/>
    <n v="77.2"/>
    <x v="0"/>
    <x v="2"/>
    <x v="1"/>
  </r>
  <r>
    <x v="303"/>
    <s v="Álvaro"/>
    <x v="303"/>
    <n v="742903473"/>
    <x v="0"/>
    <x v="330"/>
    <x v="2"/>
    <n v="743.7"/>
    <x v="0"/>
    <x v="1"/>
    <x v="1"/>
  </r>
  <r>
    <x v="98"/>
    <s v="Augusto"/>
    <x v="98"/>
    <n v="970397357"/>
    <x v="1"/>
    <x v="331"/>
    <x v="2"/>
    <n v="985.27"/>
    <x v="0"/>
    <x v="3"/>
    <x v="1"/>
  </r>
  <r>
    <x v="243"/>
    <s v="Loreto"/>
    <x v="243"/>
    <n v="723693491"/>
    <x v="0"/>
    <x v="223"/>
    <x v="10"/>
    <n v="872.93"/>
    <x v="0"/>
    <x v="3"/>
    <x v="0"/>
  </r>
  <r>
    <x v="304"/>
    <s v="Amarilis"/>
    <x v="304"/>
    <n v="714801888"/>
    <x v="2"/>
    <x v="332"/>
    <x v="9"/>
    <n v="46.64"/>
    <x v="0"/>
    <x v="5"/>
    <x v="1"/>
  </r>
  <r>
    <x v="207"/>
    <s v="Carmela"/>
    <x v="207"/>
    <n v="731844990"/>
    <x v="1"/>
    <x v="118"/>
    <x v="3"/>
    <n v="1040.23"/>
    <x v="0"/>
    <x v="0"/>
    <x v="0"/>
  </r>
  <r>
    <x v="305"/>
    <s v="Rodolfo"/>
    <x v="305"/>
    <n v="607402655"/>
    <x v="1"/>
    <x v="299"/>
    <x v="4"/>
    <n v="84.72"/>
    <x v="0"/>
    <x v="3"/>
    <x v="1"/>
  </r>
  <r>
    <x v="306"/>
    <s v="Eladio"/>
    <x v="306"/>
    <n v="971399015"/>
    <x v="1"/>
    <x v="64"/>
    <x v="18"/>
    <n v="1323.38"/>
    <x v="0"/>
    <x v="4"/>
    <x v="0"/>
  </r>
  <r>
    <x v="307"/>
    <s v="Morena"/>
    <x v="307"/>
    <n v="746921271"/>
    <x v="1"/>
    <x v="333"/>
    <x v="17"/>
    <n v="1898.42"/>
    <x v="0"/>
    <x v="3"/>
    <x v="0"/>
  </r>
  <r>
    <x v="147"/>
    <s v="Evaristo"/>
    <x v="147"/>
    <n v="720179790"/>
    <x v="0"/>
    <x v="334"/>
    <x v="8"/>
    <n v="1254.3800000000001"/>
    <x v="0"/>
    <x v="4"/>
    <x v="1"/>
  </r>
  <r>
    <x v="204"/>
    <s v="Bibiana"/>
    <x v="204"/>
    <n v="733233840"/>
    <x v="0"/>
    <x v="68"/>
    <x v="14"/>
    <n v="1275.79"/>
    <x v="0"/>
    <x v="2"/>
    <x v="1"/>
  </r>
  <r>
    <x v="308"/>
    <s v="Fidela"/>
    <x v="308"/>
    <n v="704384474"/>
    <x v="0"/>
    <x v="335"/>
    <x v="0"/>
    <n v="241.45"/>
    <x v="0"/>
    <x v="0"/>
    <x v="1"/>
  </r>
  <r>
    <x v="307"/>
    <s v="Morena"/>
    <x v="307"/>
    <n v="746921271"/>
    <x v="1"/>
    <x v="336"/>
    <x v="17"/>
    <n v="492.4"/>
    <x v="0"/>
    <x v="1"/>
    <x v="0"/>
  </r>
  <r>
    <x v="309"/>
    <s v="Sosimo"/>
    <x v="309"/>
    <n v="722204395"/>
    <x v="0"/>
    <x v="337"/>
    <x v="14"/>
    <n v="451.73"/>
    <x v="0"/>
    <x v="3"/>
    <x v="1"/>
  </r>
  <r>
    <x v="151"/>
    <s v="Roque"/>
    <x v="151"/>
    <n v="724968308"/>
    <x v="0"/>
    <x v="338"/>
    <x v="1"/>
    <n v="1905.26"/>
    <x v="0"/>
    <x v="1"/>
    <x v="1"/>
  </r>
  <r>
    <x v="310"/>
    <s v="Amparo"/>
    <x v="310"/>
    <n v="820771678"/>
    <x v="0"/>
    <x v="339"/>
    <x v="3"/>
    <n v="134.93"/>
    <x v="0"/>
    <x v="2"/>
    <x v="0"/>
  </r>
  <r>
    <x v="311"/>
    <s v="Cesar"/>
    <x v="311"/>
    <n v="746264285"/>
    <x v="0"/>
    <x v="340"/>
    <x v="10"/>
    <n v="639.76"/>
    <x v="0"/>
    <x v="2"/>
    <x v="1"/>
  </r>
  <r>
    <x v="303"/>
    <s v="Álvaro"/>
    <x v="303"/>
    <n v="742903473"/>
    <x v="0"/>
    <x v="212"/>
    <x v="2"/>
    <n v="1204.51"/>
    <x v="0"/>
    <x v="1"/>
    <x v="1"/>
  </r>
  <r>
    <x v="286"/>
    <s v="Teresa"/>
    <x v="286"/>
    <n v="635448926"/>
    <x v="1"/>
    <x v="341"/>
    <x v="16"/>
    <n v="1873.99"/>
    <x v="0"/>
    <x v="3"/>
    <x v="0"/>
  </r>
  <r>
    <x v="87"/>
    <s v="Clementina"/>
    <x v="87"/>
    <n v="624519478"/>
    <x v="1"/>
    <x v="342"/>
    <x v="8"/>
    <n v="1178.58"/>
    <x v="0"/>
    <x v="1"/>
    <x v="0"/>
  </r>
  <r>
    <x v="55"/>
    <s v="Lino"/>
    <x v="55"/>
    <n v="743293622"/>
    <x v="0"/>
    <x v="120"/>
    <x v="19"/>
    <n v="209.75"/>
    <x v="0"/>
    <x v="1"/>
    <x v="1"/>
  </r>
  <r>
    <x v="312"/>
    <s v="Lara"/>
    <x v="312"/>
    <n v="729651240"/>
    <x v="0"/>
    <x v="343"/>
    <x v="12"/>
    <n v="1913.69"/>
    <x v="0"/>
    <x v="3"/>
    <x v="0"/>
  </r>
  <r>
    <x v="313"/>
    <s v="Alonso"/>
    <x v="313"/>
    <n v="677172506"/>
    <x v="0"/>
    <x v="344"/>
    <x v="3"/>
    <n v="1661.63"/>
    <x v="0"/>
    <x v="2"/>
    <x v="0"/>
  </r>
  <r>
    <x v="314"/>
    <s v="Selena"/>
    <x v="314"/>
    <n v="996771143"/>
    <x v="0"/>
    <x v="345"/>
    <x v="3"/>
    <n v="1058.46"/>
    <x v="0"/>
    <x v="0"/>
    <x v="0"/>
  </r>
  <r>
    <x v="174"/>
    <s v="Paz"/>
    <x v="174"/>
    <n v="803123797"/>
    <x v="0"/>
    <x v="346"/>
    <x v="18"/>
    <n v="705.81"/>
    <x v="0"/>
    <x v="5"/>
    <x v="0"/>
  </r>
  <r>
    <x v="215"/>
    <s v="Curro"/>
    <x v="215"/>
    <n v="728307481"/>
    <x v="0"/>
    <x v="347"/>
    <x v="3"/>
    <n v="1025.57"/>
    <x v="0"/>
    <x v="1"/>
    <x v="1"/>
  </r>
  <r>
    <x v="190"/>
    <s v="Juan José"/>
    <x v="190"/>
    <n v="745740326"/>
    <x v="2"/>
    <x v="347"/>
    <x v="12"/>
    <n v="626.03"/>
    <x v="0"/>
    <x v="2"/>
    <x v="1"/>
  </r>
  <r>
    <x v="315"/>
    <s v="Ainoa"/>
    <x v="315"/>
    <n v="624808343"/>
    <x v="1"/>
    <x v="136"/>
    <x v="11"/>
    <n v="39.58"/>
    <x v="0"/>
    <x v="0"/>
    <x v="0"/>
  </r>
  <r>
    <x v="251"/>
    <s v="Yéssica"/>
    <x v="251"/>
    <n v="933910652"/>
    <x v="1"/>
    <x v="25"/>
    <x v="7"/>
    <n v="1545.83"/>
    <x v="0"/>
    <x v="3"/>
    <x v="1"/>
  </r>
  <r>
    <x v="34"/>
    <s v="Verónica"/>
    <x v="34"/>
    <n v="806812397"/>
    <x v="1"/>
    <x v="87"/>
    <x v="1"/>
    <n v="191.39"/>
    <x v="0"/>
    <x v="5"/>
    <x v="1"/>
  </r>
  <r>
    <x v="58"/>
    <s v="Clarisa"/>
    <x v="58"/>
    <n v="705986638"/>
    <x v="0"/>
    <x v="348"/>
    <x v="10"/>
    <n v="1609.02"/>
    <x v="0"/>
    <x v="2"/>
    <x v="0"/>
  </r>
  <r>
    <x v="280"/>
    <s v="Lola"/>
    <x v="280"/>
    <n v="892885525"/>
    <x v="1"/>
    <x v="349"/>
    <x v="10"/>
    <n v="1549.86"/>
    <x v="0"/>
    <x v="1"/>
    <x v="0"/>
  </r>
  <r>
    <x v="18"/>
    <s v="Carmina"/>
    <x v="18"/>
    <n v="879596240"/>
    <x v="2"/>
    <x v="92"/>
    <x v="3"/>
    <n v="1569.77"/>
    <x v="0"/>
    <x v="3"/>
    <x v="1"/>
  </r>
  <r>
    <x v="62"/>
    <s v="Jesusa"/>
    <x v="62"/>
    <n v="948373777"/>
    <x v="0"/>
    <x v="350"/>
    <x v="16"/>
    <n v="1530.2"/>
    <x v="0"/>
    <x v="2"/>
    <x v="1"/>
  </r>
  <r>
    <x v="316"/>
    <s v="Samanta"/>
    <x v="316"/>
    <n v="615926523"/>
    <x v="0"/>
    <x v="351"/>
    <x v="15"/>
    <n v="1201.28"/>
    <x v="1"/>
    <x v="0"/>
    <x v="1"/>
  </r>
  <r>
    <x v="317"/>
    <s v="María Manuela"/>
    <x v="317"/>
    <n v="737214224"/>
    <x v="0"/>
    <x v="95"/>
    <x v="20"/>
    <n v="522.64"/>
    <x v="0"/>
    <x v="1"/>
    <x v="0"/>
  </r>
  <r>
    <x v="318"/>
    <s v="Begoña"/>
    <x v="318"/>
    <n v="722110763"/>
    <x v="2"/>
    <x v="4"/>
    <x v="13"/>
    <n v="295.24"/>
    <x v="0"/>
    <x v="1"/>
    <x v="0"/>
  </r>
  <r>
    <x v="319"/>
    <s v="Consuelo"/>
    <x v="319"/>
    <n v="815126663"/>
    <x v="1"/>
    <x v="184"/>
    <x v="5"/>
    <n v="1961.12"/>
    <x v="0"/>
    <x v="1"/>
    <x v="0"/>
  </r>
  <r>
    <x v="320"/>
    <s v="Máximo"/>
    <x v="320"/>
    <n v="676942883"/>
    <x v="0"/>
    <x v="352"/>
    <x v="7"/>
    <n v="87.23"/>
    <x v="0"/>
    <x v="2"/>
    <x v="0"/>
  </r>
  <r>
    <x v="321"/>
    <s v="Federico"/>
    <x v="321"/>
    <n v="715519555"/>
    <x v="1"/>
    <x v="353"/>
    <x v="11"/>
    <n v="52.83"/>
    <x v="0"/>
    <x v="1"/>
    <x v="0"/>
  </r>
  <r>
    <x v="322"/>
    <s v="Toribio"/>
    <x v="322"/>
    <n v="713652480"/>
    <x v="2"/>
    <x v="354"/>
    <x v="15"/>
    <n v="142.75"/>
    <x v="0"/>
    <x v="3"/>
    <x v="1"/>
  </r>
  <r>
    <x v="268"/>
    <s v="Nicolás"/>
    <x v="268"/>
    <n v="703991673"/>
    <x v="1"/>
    <x v="355"/>
    <x v="16"/>
    <n v="1256.47"/>
    <x v="0"/>
    <x v="3"/>
    <x v="0"/>
  </r>
  <r>
    <x v="17"/>
    <s v="Graciano"/>
    <x v="17"/>
    <n v="916052353"/>
    <x v="2"/>
    <x v="356"/>
    <x v="10"/>
    <n v="1925.72"/>
    <x v="2"/>
    <x v="1"/>
    <x v="1"/>
  </r>
  <r>
    <x v="323"/>
    <s v="Miguela"/>
    <x v="323"/>
    <n v="733967993"/>
    <x v="1"/>
    <x v="11"/>
    <x v="2"/>
    <n v="499.43"/>
    <x v="0"/>
    <x v="0"/>
    <x v="1"/>
  </r>
  <r>
    <x v="120"/>
    <s v="Cipriano"/>
    <x v="120"/>
    <n v="708260146"/>
    <x v="2"/>
    <x v="357"/>
    <x v="6"/>
    <n v="230.16"/>
    <x v="0"/>
    <x v="1"/>
    <x v="0"/>
  </r>
  <r>
    <x v="151"/>
    <s v="Roque"/>
    <x v="151"/>
    <n v="724968308"/>
    <x v="0"/>
    <x v="321"/>
    <x v="1"/>
    <n v="1694.21"/>
    <x v="0"/>
    <x v="1"/>
    <x v="1"/>
  </r>
  <r>
    <x v="324"/>
    <s v="Ascensión"/>
    <x v="324"/>
    <n v="733329234"/>
    <x v="1"/>
    <x v="358"/>
    <x v="15"/>
    <n v="624.87"/>
    <x v="0"/>
    <x v="1"/>
    <x v="1"/>
  </r>
  <r>
    <x v="325"/>
    <s v="Angélica"/>
    <x v="325"/>
    <n v="722196891"/>
    <x v="2"/>
    <x v="359"/>
    <x v="14"/>
    <n v="1804.83"/>
    <x v="0"/>
    <x v="4"/>
    <x v="1"/>
  </r>
  <r>
    <x v="111"/>
    <s v="Maximino"/>
    <x v="111"/>
    <n v="719370887"/>
    <x v="1"/>
    <x v="360"/>
    <x v="14"/>
    <n v="514.69000000000005"/>
    <x v="0"/>
    <x v="3"/>
    <x v="0"/>
  </r>
  <r>
    <x v="105"/>
    <s v="Sergio"/>
    <x v="105"/>
    <n v="725175634"/>
    <x v="0"/>
    <x v="214"/>
    <x v="2"/>
    <n v="617.47"/>
    <x v="0"/>
    <x v="2"/>
    <x v="0"/>
  </r>
  <r>
    <x v="111"/>
    <s v="Maximino"/>
    <x v="111"/>
    <n v="719370887"/>
    <x v="1"/>
    <x v="22"/>
    <x v="14"/>
    <n v="1944.58"/>
    <x v="0"/>
    <x v="0"/>
    <x v="1"/>
  </r>
  <r>
    <x v="267"/>
    <s v="Eufemia"/>
    <x v="267"/>
    <n v="724525701"/>
    <x v="0"/>
    <x v="97"/>
    <x v="22"/>
    <n v="1408.43"/>
    <x v="0"/>
    <x v="1"/>
    <x v="1"/>
  </r>
  <r>
    <x v="326"/>
    <s v="Luisa"/>
    <x v="326"/>
    <n v="741532244"/>
    <x v="0"/>
    <x v="216"/>
    <x v="1"/>
    <n v="1762.77"/>
    <x v="0"/>
    <x v="1"/>
    <x v="1"/>
  </r>
  <r>
    <x v="103"/>
    <s v="Emilia"/>
    <x v="103"/>
    <n v="721361791"/>
    <x v="0"/>
    <x v="361"/>
    <x v="7"/>
    <n v="143.83000000000001"/>
    <x v="1"/>
    <x v="1"/>
    <x v="0"/>
  </r>
  <r>
    <x v="153"/>
    <s v="Calixta"/>
    <x v="153"/>
    <n v="732688394"/>
    <x v="0"/>
    <x v="362"/>
    <x v="6"/>
    <n v="827.18"/>
    <x v="0"/>
    <x v="2"/>
    <x v="0"/>
  </r>
  <r>
    <x v="127"/>
    <s v="Rocío"/>
    <x v="127"/>
    <n v="712704910"/>
    <x v="0"/>
    <x v="363"/>
    <x v="12"/>
    <n v="221.12"/>
    <x v="0"/>
    <x v="2"/>
    <x v="0"/>
  </r>
  <r>
    <x v="73"/>
    <s v="Evangelina"/>
    <x v="73"/>
    <n v="737130420"/>
    <x v="0"/>
    <x v="364"/>
    <x v="13"/>
    <n v="17.87"/>
    <x v="0"/>
    <x v="2"/>
    <x v="1"/>
  </r>
  <r>
    <x v="42"/>
    <s v="Julio César"/>
    <x v="42"/>
    <n v="628214825"/>
    <x v="0"/>
    <x v="365"/>
    <x v="6"/>
    <n v="491.67"/>
    <x v="0"/>
    <x v="2"/>
    <x v="0"/>
  </r>
  <r>
    <x v="26"/>
    <s v="Isaías"/>
    <x v="26"/>
    <n v="892859188"/>
    <x v="0"/>
    <x v="366"/>
    <x v="13"/>
    <n v="466.33"/>
    <x v="0"/>
    <x v="3"/>
    <x v="0"/>
  </r>
  <r>
    <x v="298"/>
    <s v="Zoraida"/>
    <x v="298"/>
    <n v="917893213"/>
    <x v="1"/>
    <x v="206"/>
    <x v="7"/>
    <n v="448.65"/>
    <x v="2"/>
    <x v="0"/>
    <x v="1"/>
  </r>
  <r>
    <x v="219"/>
    <s v="Perlita"/>
    <x v="219"/>
    <n v="690754330"/>
    <x v="0"/>
    <x v="320"/>
    <x v="4"/>
    <n v="770.17"/>
    <x v="0"/>
    <x v="2"/>
    <x v="1"/>
  </r>
  <r>
    <x v="327"/>
    <s v="Román"/>
    <x v="327"/>
    <n v="730150105"/>
    <x v="0"/>
    <x v="64"/>
    <x v="16"/>
    <n v="220.15"/>
    <x v="0"/>
    <x v="2"/>
    <x v="1"/>
  </r>
  <r>
    <x v="141"/>
    <s v="Brunilda"/>
    <x v="141"/>
    <n v="652976786"/>
    <x v="1"/>
    <x v="194"/>
    <x v="8"/>
    <n v="1594.48"/>
    <x v="1"/>
    <x v="4"/>
    <x v="1"/>
  </r>
  <r>
    <x v="325"/>
    <s v="Angélica"/>
    <x v="325"/>
    <n v="722196891"/>
    <x v="2"/>
    <x v="367"/>
    <x v="14"/>
    <n v="1024.05"/>
    <x v="0"/>
    <x v="3"/>
    <x v="0"/>
  </r>
  <r>
    <x v="328"/>
    <s v="Eugenio"/>
    <x v="328"/>
    <n v="731165363"/>
    <x v="1"/>
    <x v="368"/>
    <x v="5"/>
    <n v="1652.99"/>
    <x v="0"/>
    <x v="3"/>
    <x v="0"/>
  </r>
  <r>
    <x v="329"/>
    <s v="Yéssica"/>
    <x v="329"/>
    <n v="720043779"/>
    <x v="0"/>
    <x v="146"/>
    <x v="9"/>
    <n v="139.38999999999999"/>
    <x v="0"/>
    <x v="0"/>
    <x v="1"/>
  </r>
  <r>
    <x v="204"/>
    <s v="Bibiana"/>
    <x v="204"/>
    <n v="733233840"/>
    <x v="0"/>
    <x v="369"/>
    <x v="14"/>
    <n v="1249.8"/>
    <x v="0"/>
    <x v="1"/>
    <x v="1"/>
  </r>
  <r>
    <x v="330"/>
    <s v="Juan Pablo"/>
    <x v="330"/>
    <n v="694844051"/>
    <x v="0"/>
    <x v="370"/>
    <x v="5"/>
    <n v="57.42"/>
    <x v="0"/>
    <x v="1"/>
    <x v="1"/>
  </r>
  <r>
    <x v="108"/>
    <s v="Jesús"/>
    <x v="108"/>
    <n v="979540496"/>
    <x v="0"/>
    <x v="251"/>
    <x v="4"/>
    <n v="1924.96"/>
    <x v="0"/>
    <x v="4"/>
    <x v="1"/>
  </r>
  <r>
    <x v="113"/>
    <s v="Marcio"/>
    <x v="113"/>
    <n v="682341936"/>
    <x v="0"/>
    <x v="371"/>
    <x v="1"/>
    <n v="29.89"/>
    <x v="0"/>
    <x v="2"/>
    <x v="1"/>
  </r>
  <r>
    <x v="259"/>
    <s v="Petrona"/>
    <x v="259"/>
    <n v="733394756"/>
    <x v="1"/>
    <x v="372"/>
    <x v="19"/>
    <n v="530.54999999999995"/>
    <x v="0"/>
    <x v="3"/>
    <x v="0"/>
  </r>
  <r>
    <x v="331"/>
    <s v="Balduino"/>
    <x v="331"/>
    <n v="723768512"/>
    <x v="0"/>
    <x v="373"/>
    <x v="13"/>
    <n v="1519.67"/>
    <x v="0"/>
    <x v="2"/>
    <x v="1"/>
  </r>
  <r>
    <x v="332"/>
    <s v="Adelia"/>
    <x v="332"/>
    <n v="636255184"/>
    <x v="0"/>
    <x v="252"/>
    <x v="1"/>
    <n v="785.2"/>
    <x v="1"/>
    <x v="2"/>
    <x v="1"/>
  </r>
  <r>
    <x v="333"/>
    <s v="Cristian"/>
    <x v="333"/>
    <n v="827325070"/>
    <x v="0"/>
    <x v="374"/>
    <x v="6"/>
    <n v="1327.28"/>
    <x v="0"/>
    <x v="2"/>
    <x v="0"/>
  </r>
  <r>
    <x v="20"/>
    <s v="Leticia"/>
    <x v="20"/>
    <n v="747259283"/>
    <x v="0"/>
    <x v="375"/>
    <x v="12"/>
    <n v="533.09"/>
    <x v="0"/>
    <x v="3"/>
    <x v="1"/>
  </r>
  <r>
    <x v="133"/>
    <s v="Gaspar"/>
    <x v="133"/>
    <n v="734216317"/>
    <x v="0"/>
    <x v="376"/>
    <x v="14"/>
    <n v="946.99"/>
    <x v="1"/>
    <x v="2"/>
    <x v="1"/>
  </r>
  <r>
    <x v="66"/>
    <s v="Marcelino"/>
    <x v="66"/>
    <n v="719919620"/>
    <x v="0"/>
    <x v="55"/>
    <x v="15"/>
    <n v="664.66"/>
    <x v="0"/>
    <x v="0"/>
    <x v="1"/>
  </r>
  <r>
    <x v="334"/>
    <s v="Artemio"/>
    <x v="334"/>
    <n v="847920353"/>
    <x v="0"/>
    <x v="377"/>
    <x v="10"/>
    <n v="422.7"/>
    <x v="0"/>
    <x v="3"/>
    <x v="0"/>
  </r>
  <r>
    <x v="335"/>
    <s v="Julián"/>
    <x v="335"/>
    <n v="747173529"/>
    <x v="1"/>
    <x v="361"/>
    <x v="17"/>
    <n v="136.82"/>
    <x v="0"/>
    <x v="3"/>
    <x v="0"/>
  </r>
  <r>
    <x v="336"/>
    <s v="Dulce"/>
    <x v="336"/>
    <n v="733718157"/>
    <x v="1"/>
    <x v="378"/>
    <x v="17"/>
    <n v="1853.9"/>
    <x v="0"/>
    <x v="1"/>
    <x v="1"/>
  </r>
  <r>
    <x v="337"/>
    <s v="Silvestre"/>
    <x v="337"/>
    <n v="919039985"/>
    <x v="1"/>
    <x v="61"/>
    <x v="18"/>
    <n v="120.86"/>
    <x v="0"/>
    <x v="3"/>
    <x v="0"/>
  </r>
  <r>
    <x v="338"/>
    <s v="Domingo"/>
    <x v="338"/>
    <n v="747242391"/>
    <x v="0"/>
    <x v="379"/>
    <x v="15"/>
    <n v="512.5"/>
    <x v="0"/>
    <x v="1"/>
    <x v="1"/>
  </r>
  <r>
    <x v="19"/>
    <s v="Che"/>
    <x v="19"/>
    <n v="719563621"/>
    <x v="1"/>
    <x v="183"/>
    <x v="11"/>
    <n v="1687.63"/>
    <x v="0"/>
    <x v="3"/>
    <x v="1"/>
  </r>
  <r>
    <x v="7"/>
    <s v="Primitiva"/>
    <x v="7"/>
    <n v="681249637"/>
    <x v="2"/>
    <x v="238"/>
    <x v="2"/>
    <n v="1935.7"/>
    <x v="0"/>
    <x v="1"/>
    <x v="1"/>
  </r>
  <r>
    <x v="148"/>
    <s v="Nicodemo"/>
    <x v="148"/>
    <n v="745350274"/>
    <x v="1"/>
    <x v="261"/>
    <x v="10"/>
    <n v="513.61"/>
    <x v="2"/>
    <x v="3"/>
    <x v="1"/>
  </r>
  <r>
    <x v="31"/>
    <s v="Hugo"/>
    <x v="31"/>
    <n v="826663368"/>
    <x v="1"/>
    <x v="347"/>
    <x v="1"/>
    <n v="65.03"/>
    <x v="0"/>
    <x v="1"/>
    <x v="0"/>
  </r>
  <r>
    <x v="339"/>
    <s v="Verónica"/>
    <x v="339"/>
    <n v="923537231"/>
    <x v="0"/>
    <x v="241"/>
    <x v="19"/>
    <n v="1083.93"/>
    <x v="1"/>
    <x v="2"/>
    <x v="0"/>
  </r>
  <r>
    <x v="184"/>
    <s v="Matilde"/>
    <x v="184"/>
    <n v="716908291"/>
    <x v="0"/>
    <x v="78"/>
    <x v="9"/>
    <n v="387.8"/>
    <x v="0"/>
    <x v="2"/>
    <x v="1"/>
  </r>
  <r>
    <x v="340"/>
    <s v="Fidel"/>
    <x v="340"/>
    <n v="938659334"/>
    <x v="0"/>
    <x v="328"/>
    <x v="10"/>
    <n v="1578.15"/>
    <x v="0"/>
    <x v="2"/>
    <x v="0"/>
  </r>
  <r>
    <x v="341"/>
    <s v="Dionisia"/>
    <x v="341"/>
    <n v="826025409"/>
    <x v="2"/>
    <x v="16"/>
    <x v="9"/>
    <n v="1149.55"/>
    <x v="1"/>
    <x v="1"/>
    <x v="0"/>
  </r>
  <r>
    <x v="79"/>
    <s v="Anselmo"/>
    <x v="79"/>
    <n v="954106570"/>
    <x v="0"/>
    <x v="312"/>
    <x v="10"/>
    <n v="33.1"/>
    <x v="0"/>
    <x v="2"/>
    <x v="1"/>
  </r>
  <r>
    <x v="342"/>
    <s v="Dorotea"/>
    <x v="342"/>
    <n v="733644671"/>
    <x v="1"/>
    <x v="380"/>
    <x v="8"/>
    <n v="147.41999999999999"/>
    <x v="0"/>
    <x v="3"/>
    <x v="0"/>
  </r>
  <r>
    <x v="206"/>
    <s v="Samuel"/>
    <x v="206"/>
    <n v="732119992"/>
    <x v="0"/>
    <x v="18"/>
    <x v="4"/>
    <n v="1483.83"/>
    <x v="0"/>
    <x v="2"/>
    <x v="0"/>
  </r>
  <r>
    <x v="204"/>
    <s v="Bibiana"/>
    <x v="204"/>
    <n v="733233840"/>
    <x v="0"/>
    <x v="381"/>
    <x v="14"/>
    <n v="107.67"/>
    <x v="0"/>
    <x v="1"/>
    <x v="0"/>
  </r>
  <r>
    <x v="300"/>
    <s v="Cintia"/>
    <x v="300"/>
    <n v="730098459"/>
    <x v="0"/>
    <x v="382"/>
    <x v="10"/>
    <n v="1370.57"/>
    <x v="0"/>
    <x v="1"/>
    <x v="0"/>
  </r>
  <r>
    <x v="343"/>
    <s v="Conrado"/>
    <x v="343"/>
    <n v="619806776"/>
    <x v="0"/>
    <x v="40"/>
    <x v="3"/>
    <n v="888.42"/>
    <x v="0"/>
    <x v="1"/>
    <x v="0"/>
  </r>
  <r>
    <x v="328"/>
    <s v="Eugenio"/>
    <x v="328"/>
    <n v="731165363"/>
    <x v="1"/>
    <x v="383"/>
    <x v="5"/>
    <n v="477.28"/>
    <x v="0"/>
    <x v="3"/>
    <x v="1"/>
  </r>
  <r>
    <x v="344"/>
    <s v="Omar"/>
    <x v="344"/>
    <n v="840470316"/>
    <x v="1"/>
    <x v="384"/>
    <x v="0"/>
    <n v="1932.23"/>
    <x v="0"/>
    <x v="3"/>
    <x v="1"/>
  </r>
  <r>
    <x v="345"/>
    <s v="Gregorio"/>
    <x v="345"/>
    <n v="646689911"/>
    <x v="0"/>
    <x v="286"/>
    <x v="6"/>
    <n v="1549.55"/>
    <x v="0"/>
    <x v="2"/>
    <x v="1"/>
  </r>
  <r>
    <x v="346"/>
    <s v="Blanca"/>
    <x v="346"/>
    <n v="858084159"/>
    <x v="2"/>
    <x v="385"/>
    <x v="2"/>
    <n v="798.19"/>
    <x v="0"/>
    <x v="4"/>
    <x v="1"/>
  </r>
  <r>
    <x v="347"/>
    <s v="Perla"/>
    <x v="347"/>
    <n v="828808869"/>
    <x v="0"/>
    <x v="120"/>
    <x v="2"/>
    <n v="1486.51"/>
    <x v="0"/>
    <x v="3"/>
    <x v="0"/>
  </r>
  <r>
    <x v="348"/>
    <s v="Ismael"/>
    <x v="348"/>
    <n v="724961052"/>
    <x v="1"/>
    <x v="189"/>
    <x v="11"/>
    <n v="1410.32"/>
    <x v="0"/>
    <x v="0"/>
    <x v="1"/>
  </r>
  <r>
    <x v="349"/>
    <s v="Graciana"/>
    <x v="349"/>
    <n v="732255248"/>
    <x v="0"/>
    <x v="386"/>
    <x v="6"/>
    <n v="1638.19"/>
    <x v="0"/>
    <x v="3"/>
    <x v="0"/>
  </r>
  <r>
    <x v="322"/>
    <s v="Toribio"/>
    <x v="322"/>
    <n v="713652480"/>
    <x v="2"/>
    <x v="370"/>
    <x v="15"/>
    <n v="1792.1"/>
    <x v="0"/>
    <x v="2"/>
    <x v="1"/>
  </r>
  <r>
    <x v="86"/>
    <s v="Apolinar"/>
    <x v="86"/>
    <n v="825868533"/>
    <x v="1"/>
    <x v="387"/>
    <x v="21"/>
    <n v="1024.9000000000001"/>
    <x v="0"/>
    <x v="2"/>
    <x v="1"/>
  </r>
  <r>
    <x v="161"/>
    <s v="Saturnino"/>
    <x v="161"/>
    <n v="705473147"/>
    <x v="0"/>
    <x v="20"/>
    <x v="19"/>
    <n v="1448.62"/>
    <x v="1"/>
    <x v="2"/>
    <x v="0"/>
  </r>
  <r>
    <x v="192"/>
    <s v="Nayara"/>
    <x v="192"/>
    <n v="725966550"/>
    <x v="0"/>
    <x v="388"/>
    <x v="6"/>
    <n v="185.55"/>
    <x v="0"/>
    <x v="2"/>
    <x v="0"/>
  </r>
  <r>
    <x v="350"/>
    <s v="Aristides"/>
    <x v="350"/>
    <n v="897233546"/>
    <x v="0"/>
    <x v="65"/>
    <x v="19"/>
    <n v="292.37"/>
    <x v="2"/>
    <x v="1"/>
    <x v="1"/>
  </r>
  <r>
    <x v="52"/>
    <s v="Poncio"/>
    <x v="52"/>
    <n v="699922916"/>
    <x v="0"/>
    <x v="271"/>
    <x v="20"/>
    <n v="1085.54"/>
    <x v="1"/>
    <x v="2"/>
    <x v="0"/>
  </r>
  <r>
    <x v="235"/>
    <s v="Rosa María"/>
    <x v="235"/>
    <n v="725307458"/>
    <x v="0"/>
    <x v="389"/>
    <x v="15"/>
    <n v="1746.45"/>
    <x v="0"/>
    <x v="3"/>
    <x v="0"/>
  </r>
  <r>
    <x v="252"/>
    <s v="Fabián"/>
    <x v="252"/>
    <n v="741931466"/>
    <x v="1"/>
    <x v="46"/>
    <x v="7"/>
    <n v="923.81"/>
    <x v="0"/>
    <x v="3"/>
    <x v="0"/>
  </r>
  <r>
    <x v="351"/>
    <s v="Piedad"/>
    <x v="351"/>
    <n v="741286548"/>
    <x v="1"/>
    <x v="390"/>
    <x v="8"/>
    <n v="1790.58"/>
    <x v="0"/>
    <x v="3"/>
    <x v="0"/>
  </r>
  <r>
    <x v="352"/>
    <s v="Concepción"/>
    <x v="352"/>
    <n v="717920847"/>
    <x v="0"/>
    <x v="45"/>
    <x v="7"/>
    <n v="1485.18"/>
    <x v="0"/>
    <x v="2"/>
    <x v="0"/>
  </r>
  <r>
    <x v="353"/>
    <s v="Zaira"/>
    <x v="353"/>
    <n v="703370540"/>
    <x v="0"/>
    <x v="391"/>
    <x v="11"/>
    <n v="1438.88"/>
    <x v="1"/>
    <x v="2"/>
    <x v="0"/>
  </r>
  <r>
    <x v="178"/>
    <s v="Máximo"/>
    <x v="178"/>
    <n v="628481126"/>
    <x v="0"/>
    <x v="26"/>
    <x v="5"/>
    <n v="497.69"/>
    <x v="0"/>
    <x v="1"/>
    <x v="1"/>
  </r>
  <r>
    <x v="64"/>
    <s v="Julie"/>
    <x v="64"/>
    <n v="706050514"/>
    <x v="0"/>
    <x v="364"/>
    <x v="10"/>
    <n v="1263.5"/>
    <x v="0"/>
    <x v="2"/>
    <x v="0"/>
  </r>
  <r>
    <x v="90"/>
    <s v="Rolando"/>
    <x v="90"/>
    <n v="709840779"/>
    <x v="2"/>
    <x v="392"/>
    <x v="3"/>
    <n v="987.97"/>
    <x v="2"/>
    <x v="1"/>
    <x v="0"/>
  </r>
  <r>
    <x v="354"/>
    <s v="Quirino"/>
    <x v="354"/>
    <n v="646104560"/>
    <x v="0"/>
    <x v="188"/>
    <x v="19"/>
    <n v="1345.43"/>
    <x v="0"/>
    <x v="1"/>
    <x v="1"/>
  </r>
  <r>
    <x v="350"/>
    <s v="Aristides"/>
    <x v="350"/>
    <n v="897233546"/>
    <x v="0"/>
    <x v="393"/>
    <x v="19"/>
    <n v="1035.3599999999999"/>
    <x v="0"/>
    <x v="2"/>
    <x v="0"/>
  </r>
  <r>
    <x v="355"/>
    <s v="Jovita"/>
    <x v="355"/>
    <n v="722921001"/>
    <x v="0"/>
    <x v="319"/>
    <x v="7"/>
    <n v="1730.9"/>
    <x v="0"/>
    <x v="1"/>
    <x v="0"/>
  </r>
  <r>
    <x v="161"/>
    <s v="Saturnino"/>
    <x v="161"/>
    <n v="705473147"/>
    <x v="0"/>
    <x v="394"/>
    <x v="19"/>
    <n v="69.31"/>
    <x v="0"/>
    <x v="4"/>
    <x v="1"/>
  </r>
  <r>
    <x v="349"/>
    <s v="Graciana"/>
    <x v="349"/>
    <n v="732255248"/>
    <x v="0"/>
    <x v="395"/>
    <x v="6"/>
    <n v="405.31"/>
    <x v="1"/>
    <x v="3"/>
    <x v="1"/>
  </r>
  <r>
    <x v="212"/>
    <s v="Andrea"/>
    <x v="212"/>
    <n v="803943952"/>
    <x v="2"/>
    <x v="396"/>
    <x v="4"/>
    <n v="146.86000000000001"/>
    <x v="0"/>
    <x v="5"/>
    <x v="0"/>
  </r>
  <r>
    <x v="356"/>
    <s v="Sabina"/>
    <x v="356"/>
    <n v="938130308"/>
    <x v="1"/>
    <x v="78"/>
    <x v="4"/>
    <n v="894.52"/>
    <x v="0"/>
    <x v="3"/>
    <x v="0"/>
  </r>
  <r>
    <x v="160"/>
    <s v="Leoncio"/>
    <x v="160"/>
    <n v="726605821"/>
    <x v="1"/>
    <x v="397"/>
    <x v="19"/>
    <n v="74.69"/>
    <x v="0"/>
    <x v="3"/>
    <x v="1"/>
  </r>
  <r>
    <x v="357"/>
    <s v="Almudena"/>
    <x v="357"/>
    <n v="742320022"/>
    <x v="0"/>
    <x v="380"/>
    <x v="17"/>
    <n v="1910.23"/>
    <x v="0"/>
    <x v="2"/>
    <x v="1"/>
  </r>
  <r>
    <x v="358"/>
    <s v="Ricardo"/>
    <x v="358"/>
    <n v="701616066"/>
    <x v="0"/>
    <x v="149"/>
    <x v="16"/>
    <n v="139.68"/>
    <x v="1"/>
    <x v="4"/>
    <x v="0"/>
  </r>
  <r>
    <x v="167"/>
    <s v="Cristian"/>
    <x v="167"/>
    <n v="933609477"/>
    <x v="0"/>
    <x v="398"/>
    <x v="2"/>
    <n v="992.35"/>
    <x v="1"/>
    <x v="1"/>
    <x v="0"/>
  </r>
  <r>
    <x v="263"/>
    <s v="Rodrigo"/>
    <x v="263"/>
    <n v="689640017"/>
    <x v="0"/>
    <x v="317"/>
    <x v="15"/>
    <n v="1876.09"/>
    <x v="0"/>
    <x v="2"/>
    <x v="0"/>
  </r>
  <r>
    <x v="145"/>
    <s v="Kike"/>
    <x v="145"/>
    <n v="819517980"/>
    <x v="2"/>
    <x v="399"/>
    <x v="4"/>
    <n v="1010.46"/>
    <x v="0"/>
    <x v="2"/>
    <x v="0"/>
  </r>
  <r>
    <x v="359"/>
    <s v="Tamara"/>
    <x v="359"/>
    <n v="721034679"/>
    <x v="0"/>
    <x v="5"/>
    <x v="21"/>
    <n v="1282"/>
    <x v="1"/>
    <x v="2"/>
    <x v="0"/>
  </r>
  <r>
    <x v="203"/>
    <s v="Manu"/>
    <x v="203"/>
    <n v="739067408"/>
    <x v="0"/>
    <x v="179"/>
    <x v="12"/>
    <n v="1243.46"/>
    <x v="1"/>
    <x v="5"/>
    <x v="1"/>
  </r>
  <r>
    <x v="360"/>
    <s v="Guillermo"/>
    <x v="360"/>
    <n v="735688259"/>
    <x v="0"/>
    <x v="400"/>
    <x v="20"/>
    <n v="1637.49"/>
    <x v="0"/>
    <x v="2"/>
    <x v="1"/>
  </r>
  <r>
    <x v="361"/>
    <s v="Lucila"/>
    <x v="361"/>
    <n v="960053641"/>
    <x v="2"/>
    <x v="325"/>
    <x v="7"/>
    <n v="50.89"/>
    <x v="0"/>
    <x v="2"/>
    <x v="1"/>
  </r>
  <r>
    <x v="266"/>
    <s v="Maricela"/>
    <x v="266"/>
    <n v="721979865"/>
    <x v="0"/>
    <x v="245"/>
    <x v="18"/>
    <n v="756.72"/>
    <x v="0"/>
    <x v="5"/>
    <x v="0"/>
  </r>
  <r>
    <x v="362"/>
    <s v="Anna"/>
    <x v="362"/>
    <n v="706340219"/>
    <x v="0"/>
    <x v="401"/>
    <x v="17"/>
    <n v="257.38"/>
    <x v="0"/>
    <x v="5"/>
    <x v="1"/>
  </r>
  <r>
    <x v="226"/>
    <s v="Luciana"/>
    <x v="226"/>
    <n v="748416256"/>
    <x v="0"/>
    <x v="402"/>
    <x v="2"/>
    <n v="1825.21"/>
    <x v="0"/>
    <x v="2"/>
    <x v="1"/>
  </r>
  <r>
    <x v="295"/>
    <s v="Fabiola"/>
    <x v="295"/>
    <n v="716805697"/>
    <x v="0"/>
    <x v="403"/>
    <x v="5"/>
    <n v="1144.6500000000001"/>
    <x v="0"/>
    <x v="2"/>
    <x v="1"/>
  </r>
  <r>
    <x v="177"/>
    <s v="Custodia"/>
    <x v="177"/>
    <n v="705676062"/>
    <x v="1"/>
    <x v="386"/>
    <x v="17"/>
    <n v="1961.19"/>
    <x v="0"/>
    <x v="1"/>
    <x v="1"/>
  </r>
  <r>
    <x v="200"/>
    <s v="Renata"/>
    <x v="200"/>
    <n v="710165186"/>
    <x v="0"/>
    <x v="173"/>
    <x v="13"/>
    <n v="280.24"/>
    <x v="0"/>
    <x v="3"/>
    <x v="0"/>
  </r>
  <r>
    <x v="153"/>
    <s v="Calixta"/>
    <x v="153"/>
    <n v="732688394"/>
    <x v="0"/>
    <x v="404"/>
    <x v="6"/>
    <n v="1146.75"/>
    <x v="0"/>
    <x v="5"/>
    <x v="0"/>
  </r>
  <r>
    <x v="363"/>
    <s v="Santiago"/>
    <x v="363"/>
    <n v="748025884"/>
    <x v="1"/>
    <x v="35"/>
    <x v="1"/>
    <n v="601.4"/>
    <x v="0"/>
    <x v="3"/>
    <x v="0"/>
  </r>
  <r>
    <x v="25"/>
    <s v="Marcelo"/>
    <x v="25"/>
    <n v="742924464"/>
    <x v="1"/>
    <x v="63"/>
    <x v="8"/>
    <n v="1084.6099999999999"/>
    <x v="0"/>
    <x v="2"/>
    <x v="0"/>
  </r>
  <r>
    <x v="364"/>
    <s v="Sarita"/>
    <x v="364"/>
    <n v="742697581"/>
    <x v="0"/>
    <x v="405"/>
    <x v="7"/>
    <n v="547.46"/>
    <x v="0"/>
    <x v="1"/>
    <x v="0"/>
  </r>
  <r>
    <x v="308"/>
    <s v="Fidela"/>
    <x v="308"/>
    <n v="704384474"/>
    <x v="0"/>
    <x v="114"/>
    <x v="0"/>
    <n v="984.63"/>
    <x v="0"/>
    <x v="3"/>
    <x v="1"/>
  </r>
  <r>
    <x v="365"/>
    <s v="Fanny"/>
    <x v="365"/>
    <n v="974043470"/>
    <x v="1"/>
    <x v="357"/>
    <x v="1"/>
    <n v="39.94"/>
    <x v="0"/>
    <x v="3"/>
    <x v="0"/>
  </r>
  <r>
    <x v="366"/>
    <s v="Nydia"/>
    <x v="366"/>
    <n v="688673130"/>
    <x v="1"/>
    <x v="265"/>
    <x v="23"/>
    <n v="914.96"/>
    <x v="0"/>
    <x v="3"/>
    <x v="1"/>
  </r>
  <r>
    <x v="244"/>
    <s v="Bautista"/>
    <x v="244"/>
    <n v="714298563"/>
    <x v="0"/>
    <x v="406"/>
    <x v="16"/>
    <n v="1193.32"/>
    <x v="0"/>
    <x v="0"/>
    <x v="0"/>
  </r>
  <r>
    <x v="367"/>
    <s v="Maristela"/>
    <x v="367"/>
    <n v="985194664"/>
    <x v="0"/>
    <x v="407"/>
    <x v="2"/>
    <n v="1609.64"/>
    <x v="2"/>
    <x v="2"/>
    <x v="1"/>
  </r>
  <r>
    <x v="263"/>
    <s v="Rodrigo"/>
    <x v="263"/>
    <n v="689640017"/>
    <x v="0"/>
    <x v="71"/>
    <x v="15"/>
    <n v="1913.84"/>
    <x v="0"/>
    <x v="4"/>
    <x v="0"/>
  </r>
  <r>
    <x v="149"/>
    <s v="Dan"/>
    <x v="149"/>
    <n v="719409141"/>
    <x v="1"/>
    <x v="304"/>
    <x v="22"/>
    <n v="1884.96"/>
    <x v="1"/>
    <x v="3"/>
    <x v="0"/>
  </r>
  <r>
    <x v="359"/>
    <s v="Tamara"/>
    <x v="359"/>
    <n v="721034679"/>
    <x v="0"/>
    <x v="408"/>
    <x v="21"/>
    <n v="591.91"/>
    <x v="0"/>
    <x v="2"/>
    <x v="1"/>
  </r>
  <r>
    <x v="158"/>
    <s v="Andrés Felipe"/>
    <x v="158"/>
    <n v="703436635"/>
    <x v="0"/>
    <x v="409"/>
    <x v="16"/>
    <n v="389.77"/>
    <x v="0"/>
    <x v="2"/>
    <x v="0"/>
  </r>
  <r>
    <x v="368"/>
    <s v="Olegario"/>
    <x v="368"/>
    <n v="831528721"/>
    <x v="0"/>
    <x v="101"/>
    <x v="9"/>
    <n v="1087.9100000000001"/>
    <x v="0"/>
    <x v="1"/>
    <x v="0"/>
  </r>
  <r>
    <x v="369"/>
    <s v="Charo"/>
    <x v="369"/>
    <n v="744534782"/>
    <x v="0"/>
    <x v="148"/>
    <x v="15"/>
    <n v="310"/>
    <x v="0"/>
    <x v="1"/>
    <x v="1"/>
  </r>
  <r>
    <x v="68"/>
    <s v="Jose Manuel"/>
    <x v="68"/>
    <n v="747024959"/>
    <x v="1"/>
    <x v="120"/>
    <x v="13"/>
    <n v="1355.41"/>
    <x v="1"/>
    <x v="3"/>
    <x v="1"/>
  </r>
  <r>
    <x v="370"/>
    <s v="Edelmiro"/>
    <x v="370"/>
    <n v="716077636"/>
    <x v="1"/>
    <x v="281"/>
    <x v="23"/>
    <n v="1213.33"/>
    <x v="0"/>
    <x v="4"/>
    <x v="1"/>
  </r>
  <r>
    <x v="67"/>
    <s v="Bernarda"/>
    <x v="67"/>
    <n v="747410141"/>
    <x v="0"/>
    <x v="410"/>
    <x v="2"/>
    <n v="1128.5"/>
    <x v="2"/>
    <x v="2"/>
    <x v="0"/>
  </r>
  <r>
    <x v="371"/>
    <s v="Seve"/>
    <x v="371"/>
    <n v="722844692"/>
    <x v="1"/>
    <x v="90"/>
    <x v="15"/>
    <n v="377.49"/>
    <x v="1"/>
    <x v="1"/>
    <x v="0"/>
  </r>
  <r>
    <x v="32"/>
    <s v="Concha"/>
    <x v="32"/>
    <n v="744875696"/>
    <x v="2"/>
    <x v="411"/>
    <x v="10"/>
    <n v="777.48"/>
    <x v="0"/>
    <x v="2"/>
    <x v="1"/>
  </r>
  <r>
    <x v="177"/>
    <s v="Custodia"/>
    <x v="177"/>
    <n v="705676062"/>
    <x v="1"/>
    <x v="386"/>
    <x v="17"/>
    <n v="1110.67"/>
    <x v="0"/>
    <x v="3"/>
    <x v="1"/>
  </r>
  <r>
    <x v="364"/>
    <s v="Sarita"/>
    <x v="364"/>
    <n v="742697581"/>
    <x v="0"/>
    <x v="226"/>
    <x v="7"/>
    <n v="464.6"/>
    <x v="0"/>
    <x v="2"/>
    <x v="1"/>
  </r>
  <r>
    <x v="204"/>
    <s v="Bibiana"/>
    <x v="204"/>
    <n v="733233840"/>
    <x v="0"/>
    <x v="107"/>
    <x v="14"/>
    <n v="1890.05"/>
    <x v="0"/>
    <x v="1"/>
    <x v="0"/>
  </r>
  <r>
    <x v="356"/>
    <s v="Sabina"/>
    <x v="356"/>
    <n v="938130308"/>
    <x v="1"/>
    <x v="412"/>
    <x v="4"/>
    <n v="1086.25"/>
    <x v="2"/>
    <x v="4"/>
    <x v="0"/>
  </r>
  <r>
    <x v="84"/>
    <s v="Daniel"/>
    <x v="84"/>
    <n v="733027275"/>
    <x v="1"/>
    <x v="413"/>
    <x v="17"/>
    <n v="1712.98"/>
    <x v="0"/>
    <x v="3"/>
    <x v="0"/>
  </r>
  <r>
    <x v="208"/>
    <s v="Sarita"/>
    <x v="208"/>
    <n v="748297259"/>
    <x v="0"/>
    <x v="414"/>
    <x v="11"/>
    <n v="355.16"/>
    <x v="0"/>
    <x v="2"/>
    <x v="1"/>
  </r>
  <r>
    <x v="180"/>
    <s v="Felipa"/>
    <x v="180"/>
    <n v="741679878"/>
    <x v="0"/>
    <x v="78"/>
    <x v="7"/>
    <n v="909.45"/>
    <x v="0"/>
    <x v="1"/>
    <x v="1"/>
  </r>
  <r>
    <x v="372"/>
    <s v="Reyes"/>
    <x v="372"/>
    <n v="903467774"/>
    <x v="0"/>
    <x v="415"/>
    <x v="17"/>
    <n v="68.459999999999994"/>
    <x v="0"/>
    <x v="3"/>
    <x v="1"/>
  </r>
  <r>
    <x v="89"/>
    <s v="Olga"/>
    <x v="89"/>
    <n v="728508171"/>
    <x v="0"/>
    <x v="6"/>
    <x v="6"/>
    <n v="279.73"/>
    <x v="0"/>
    <x v="1"/>
    <x v="0"/>
  </r>
  <r>
    <x v="15"/>
    <s v="Amaya"/>
    <x v="15"/>
    <n v="870185749"/>
    <x v="0"/>
    <x v="154"/>
    <x v="2"/>
    <n v="1690.03"/>
    <x v="0"/>
    <x v="0"/>
    <x v="0"/>
  </r>
  <r>
    <x v="373"/>
    <s v="Leonor"/>
    <x v="373"/>
    <n v="706232765"/>
    <x v="0"/>
    <x v="416"/>
    <x v="1"/>
    <n v="1179.93"/>
    <x v="0"/>
    <x v="2"/>
    <x v="1"/>
  </r>
  <r>
    <x v="42"/>
    <s v="Julio César"/>
    <x v="42"/>
    <n v="628214825"/>
    <x v="0"/>
    <x v="417"/>
    <x v="6"/>
    <n v="1731.12"/>
    <x v="0"/>
    <x v="4"/>
    <x v="1"/>
  </r>
  <r>
    <x v="295"/>
    <s v="Fabiola"/>
    <x v="295"/>
    <n v="716805697"/>
    <x v="0"/>
    <x v="418"/>
    <x v="5"/>
    <n v="1268.05"/>
    <x v="0"/>
    <x v="3"/>
    <x v="1"/>
  </r>
  <r>
    <x v="325"/>
    <s v="Angélica"/>
    <x v="325"/>
    <n v="722196891"/>
    <x v="2"/>
    <x v="419"/>
    <x v="14"/>
    <n v="1764.13"/>
    <x v="0"/>
    <x v="2"/>
    <x v="1"/>
  </r>
  <r>
    <x v="316"/>
    <s v="Samanta"/>
    <x v="316"/>
    <n v="615926523"/>
    <x v="0"/>
    <x v="420"/>
    <x v="15"/>
    <n v="446.18"/>
    <x v="0"/>
    <x v="2"/>
    <x v="0"/>
  </r>
  <r>
    <x v="138"/>
    <s v="Faustino"/>
    <x v="138"/>
    <n v="744459838"/>
    <x v="0"/>
    <x v="421"/>
    <x v="8"/>
    <n v="1061.6600000000001"/>
    <x v="0"/>
    <x v="3"/>
    <x v="1"/>
  </r>
  <r>
    <x v="374"/>
    <s v="Lourdes"/>
    <x v="374"/>
    <n v="927530563"/>
    <x v="0"/>
    <x v="96"/>
    <x v="7"/>
    <n v="1698.78"/>
    <x v="0"/>
    <x v="4"/>
    <x v="0"/>
  </r>
  <r>
    <x v="70"/>
    <s v="Olalla"/>
    <x v="70"/>
    <n v="701055024"/>
    <x v="0"/>
    <x v="402"/>
    <x v="18"/>
    <n v="1074.6199999999999"/>
    <x v="0"/>
    <x v="2"/>
    <x v="1"/>
  </r>
  <r>
    <x v="30"/>
    <s v="Florentino"/>
    <x v="30"/>
    <n v="951987392"/>
    <x v="0"/>
    <x v="422"/>
    <x v="7"/>
    <n v="382.35"/>
    <x v="0"/>
    <x v="2"/>
    <x v="0"/>
  </r>
  <r>
    <x v="375"/>
    <s v="Eutropio"/>
    <x v="375"/>
    <n v="639659594"/>
    <x v="0"/>
    <x v="323"/>
    <x v="15"/>
    <n v="1280.2"/>
    <x v="0"/>
    <x v="4"/>
    <x v="0"/>
  </r>
  <r>
    <x v="111"/>
    <s v="Maximino"/>
    <x v="111"/>
    <n v="719370887"/>
    <x v="1"/>
    <x v="423"/>
    <x v="14"/>
    <n v="653"/>
    <x v="0"/>
    <x v="4"/>
    <x v="0"/>
  </r>
  <r>
    <x v="376"/>
    <s v="Marta"/>
    <x v="376"/>
    <n v="989146343"/>
    <x v="1"/>
    <x v="393"/>
    <x v="10"/>
    <n v="1323.78"/>
    <x v="0"/>
    <x v="3"/>
    <x v="1"/>
  </r>
  <r>
    <x v="359"/>
    <s v="Tamara"/>
    <x v="359"/>
    <n v="721034679"/>
    <x v="0"/>
    <x v="424"/>
    <x v="21"/>
    <n v="1314.51"/>
    <x v="0"/>
    <x v="5"/>
    <x v="1"/>
  </r>
  <r>
    <x v="377"/>
    <s v="Victor Manuel"/>
    <x v="377"/>
    <n v="726225372"/>
    <x v="0"/>
    <x v="200"/>
    <x v="19"/>
    <n v="1386.66"/>
    <x v="2"/>
    <x v="1"/>
    <x v="1"/>
  </r>
  <r>
    <x v="196"/>
    <s v="Primitivo"/>
    <x v="196"/>
    <n v="731359620"/>
    <x v="1"/>
    <x v="425"/>
    <x v="8"/>
    <n v="1107.55"/>
    <x v="2"/>
    <x v="3"/>
    <x v="1"/>
  </r>
  <r>
    <x v="378"/>
    <s v="Fermín"/>
    <x v="378"/>
    <n v="809355979"/>
    <x v="0"/>
    <x v="103"/>
    <x v="3"/>
    <n v="226.75"/>
    <x v="0"/>
    <x v="1"/>
    <x v="0"/>
  </r>
  <r>
    <x v="245"/>
    <s v="Cornelio"/>
    <x v="245"/>
    <n v="744201404"/>
    <x v="0"/>
    <x v="106"/>
    <x v="20"/>
    <n v="481.51"/>
    <x v="1"/>
    <x v="1"/>
    <x v="0"/>
  </r>
  <r>
    <x v="331"/>
    <s v="Balduino"/>
    <x v="331"/>
    <n v="723768512"/>
    <x v="0"/>
    <x v="426"/>
    <x v="13"/>
    <n v="1897.25"/>
    <x v="1"/>
    <x v="3"/>
    <x v="1"/>
  </r>
  <r>
    <x v="280"/>
    <s v="Lola"/>
    <x v="280"/>
    <n v="892885525"/>
    <x v="1"/>
    <x v="79"/>
    <x v="10"/>
    <n v="373.48"/>
    <x v="0"/>
    <x v="2"/>
    <x v="1"/>
  </r>
  <r>
    <x v="2"/>
    <s v="Lupe"/>
    <x v="2"/>
    <n v="714510122"/>
    <x v="0"/>
    <x v="401"/>
    <x v="2"/>
    <n v="643.91999999999996"/>
    <x v="2"/>
    <x v="1"/>
    <x v="1"/>
  </r>
  <r>
    <x v="218"/>
    <s v="Leonardo"/>
    <x v="218"/>
    <n v="704650325"/>
    <x v="2"/>
    <x v="80"/>
    <x v="11"/>
    <n v="1981.24"/>
    <x v="1"/>
    <x v="0"/>
    <x v="0"/>
  </r>
  <r>
    <x v="99"/>
    <s v="Leyre"/>
    <x v="99"/>
    <n v="649943369"/>
    <x v="1"/>
    <x v="427"/>
    <x v="5"/>
    <n v="624.19000000000005"/>
    <x v="0"/>
    <x v="0"/>
    <x v="1"/>
  </r>
  <r>
    <x v="379"/>
    <s v="Francisco Jose"/>
    <x v="379"/>
    <n v="740184253"/>
    <x v="2"/>
    <x v="295"/>
    <x v="16"/>
    <n v="1159.29"/>
    <x v="0"/>
    <x v="3"/>
    <x v="1"/>
  </r>
  <r>
    <x v="380"/>
    <s v="Caridad"/>
    <x v="380"/>
    <n v="728952399"/>
    <x v="0"/>
    <x v="428"/>
    <x v="6"/>
    <n v="1193.68"/>
    <x v="0"/>
    <x v="1"/>
    <x v="1"/>
  </r>
  <r>
    <x v="293"/>
    <s v="Toni"/>
    <x v="293"/>
    <n v="869663629"/>
    <x v="0"/>
    <x v="381"/>
    <x v="18"/>
    <n v="866.9"/>
    <x v="0"/>
    <x v="4"/>
    <x v="0"/>
  </r>
  <r>
    <x v="381"/>
    <s v="Narciso"/>
    <x v="381"/>
    <n v="701336805"/>
    <x v="1"/>
    <x v="9"/>
    <x v="5"/>
    <n v="860.3"/>
    <x v="0"/>
    <x v="3"/>
    <x v="1"/>
  </r>
  <r>
    <x v="203"/>
    <s v="Manu"/>
    <x v="203"/>
    <n v="739067408"/>
    <x v="0"/>
    <x v="68"/>
    <x v="12"/>
    <n v="1718.12"/>
    <x v="0"/>
    <x v="2"/>
    <x v="1"/>
  </r>
  <r>
    <x v="117"/>
    <s v="Dolores"/>
    <x v="117"/>
    <n v="608275218"/>
    <x v="0"/>
    <x v="136"/>
    <x v="11"/>
    <n v="97.84"/>
    <x v="0"/>
    <x v="2"/>
    <x v="1"/>
  </r>
  <r>
    <x v="382"/>
    <s v="Gertrudis"/>
    <x v="382"/>
    <n v="870444420"/>
    <x v="0"/>
    <x v="61"/>
    <x v="3"/>
    <n v="1876.07"/>
    <x v="0"/>
    <x v="1"/>
    <x v="1"/>
  </r>
  <r>
    <x v="22"/>
    <s v="Ale"/>
    <x v="22"/>
    <n v="722994048"/>
    <x v="0"/>
    <x v="145"/>
    <x v="7"/>
    <n v="495.59"/>
    <x v="0"/>
    <x v="3"/>
    <x v="1"/>
  </r>
  <r>
    <x v="383"/>
    <s v="Cecilia"/>
    <x v="383"/>
    <n v="746241600"/>
    <x v="0"/>
    <x v="429"/>
    <x v="5"/>
    <n v="1176.6199999999999"/>
    <x v="0"/>
    <x v="2"/>
    <x v="1"/>
  </r>
  <r>
    <x v="73"/>
    <s v="Evangelina"/>
    <x v="73"/>
    <n v="737130420"/>
    <x v="0"/>
    <x v="406"/>
    <x v="13"/>
    <n v="1849.08"/>
    <x v="2"/>
    <x v="0"/>
    <x v="1"/>
  </r>
  <r>
    <x v="66"/>
    <s v="Marcelino"/>
    <x v="66"/>
    <n v="719919620"/>
    <x v="0"/>
    <x v="430"/>
    <x v="15"/>
    <n v="1866.75"/>
    <x v="0"/>
    <x v="2"/>
    <x v="0"/>
  </r>
  <r>
    <x v="384"/>
    <s v="Teodoro"/>
    <x v="384"/>
    <n v="731230632"/>
    <x v="0"/>
    <x v="431"/>
    <x v="14"/>
    <n v="933.55"/>
    <x v="0"/>
    <x v="1"/>
    <x v="0"/>
  </r>
  <r>
    <x v="39"/>
    <s v="Pepe"/>
    <x v="39"/>
    <n v="700258650"/>
    <x v="0"/>
    <x v="432"/>
    <x v="0"/>
    <n v="95.9"/>
    <x v="0"/>
    <x v="4"/>
    <x v="1"/>
  </r>
  <r>
    <x v="53"/>
    <s v="Eufemia"/>
    <x v="53"/>
    <n v="859966448"/>
    <x v="1"/>
    <x v="433"/>
    <x v="11"/>
    <n v="188.41"/>
    <x v="0"/>
    <x v="3"/>
    <x v="1"/>
  </r>
  <r>
    <x v="242"/>
    <s v="Liliana"/>
    <x v="242"/>
    <n v="737596279"/>
    <x v="0"/>
    <x v="287"/>
    <x v="21"/>
    <n v="763.03"/>
    <x v="1"/>
    <x v="0"/>
    <x v="0"/>
  </r>
  <r>
    <x v="153"/>
    <s v="Calixta"/>
    <x v="153"/>
    <n v="732688394"/>
    <x v="0"/>
    <x v="434"/>
    <x v="6"/>
    <n v="728.03"/>
    <x v="0"/>
    <x v="3"/>
    <x v="1"/>
  </r>
  <r>
    <x v="277"/>
    <s v="Paz"/>
    <x v="277"/>
    <n v="905498813"/>
    <x v="0"/>
    <x v="180"/>
    <x v="20"/>
    <n v="520.87"/>
    <x v="0"/>
    <x v="2"/>
    <x v="1"/>
  </r>
  <r>
    <x v="385"/>
    <s v="Yaiza"/>
    <x v="385"/>
    <n v="639108490"/>
    <x v="0"/>
    <x v="216"/>
    <x v="16"/>
    <n v="1927.23"/>
    <x v="0"/>
    <x v="5"/>
    <x v="0"/>
  </r>
  <r>
    <x v="217"/>
    <s v="Sarita"/>
    <x v="217"/>
    <n v="621081475"/>
    <x v="1"/>
    <x v="435"/>
    <x v="5"/>
    <n v="1617.33"/>
    <x v="0"/>
    <x v="1"/>
    <x v="0"/>
  </r>
  <r>
    <x v="381"/>
    <s v="Narciso"/>
    <x v="381"/>
    <n v="701336805"/>
    <x v="1"/>
    <x v="436"/>
    <x v="5"/>
    <n v="1809.51"/>
    <x v="0"/>
    <x v="0"/>
    <x v="1"/>
  </r>
  <r>
    <x v="295"/>
    <s v="Fabiola"/>
    <x v="295"/>
    <n v="716805697"/>
    <x v="0"/>
    <x v="414"/>
    <x v="5"/>
    <n v="1402.54"/>
    <x v="0"/>
    <x v="2"/>
    <x v="1"/>
  </r>
  <r>
    <x v="147"/>
    <s v="Evaristo"/>
    <x v="147"/>
    <n v="720179790"/>
    <x v="0"/>
    <x v="437"/>
    <x v="8"/>
    <n v="898.28"/>
    <x v="0"/>
    <x v="2"/>
    <x v="1"/>
  </r>
  <r>
    <x v="269"/>
    <s v="Coral"/>
    <x v="269"/>
    <n v="738803125"/>
    <x v="0"/>
    <x v="70"/>
    <x v="1"/>
    <n v="1783.88"/>
    <x v="0"/>
    <x v="0"/>
    <x v="1"/>
  </r>
  <r>
    <x v="386"/>
    <s v="Rico"/>
    <x v="386"/>
    <n v="748518150"/>
    <x v="1"/>
    <x v="438"/>
    <x v="19"/>
    <n v="1034.6099999999999"/>
    <x v="1"/>
    <x v="5"/>
    <x v="1"/>
  </r>
  <r>
    <x v="387"/>
    <s v="Carla"/>
    <x v="387"/>
    <n v="645909202"/>
    <x v="0"/>
    <x v="35"/>
    <x v="13"/>
    <n v="1514.45"/>
    <x v="1"/>
    <x v="2"/>
    <x v="0"/>
  </r>
  <r>
    <x v="148"/>
    <s v="Nicodemo"/>
    <x v="148"/>
    <n v="745350274"/>
    <x v="1"/>
    <x v="439"/>
    <x v="10"/>
    <n v="1938.28"/>
    <x v="1"/>
    <x v="3"/>
    <x v="1"/>
  </r>
  <r>
    <x v="121"/>
    <s v="Tecla"/>
    <x v="121"/>
    <n v="715497471"/>
    <x v="0"/>
    <x v="343"/>
    <x v="18"/>
    <n v="1708.05"/>
    <x v="0"/>
    <x v="0"/>
    <x v="1"/>
  </r>
  <r>
    <x v="153"/>
    <s v="Calixta"/>
    <x v="153"/>
    <n v="732688394"/>
    <x v="0"/>
    <x v="440"/>
    <x v="6"/>
    <n v="806.67"/>
    <x v="1"/>
    <x v="2"/>
    <x v="0"/>
  </r>
  <r>
    <x v="277"/>
    <s v="Paz"/>
    <x v="277"/>
    <n v="905498813"/>
    <x v="0"/>
    <x v="441"/>
    <x v="20"/>
    <n v="1099.07"/>
    <x v="1"/>
    <x v="1"/>
    <x v="1"/>
  </r>
  <r>
    <x v="308"/>
    <s v="Fidela"/>
    <x v="308"/>
    <n v="704384474"/>
    <x v="0"/>
    <x v="442"/>
    <x v="0"/>
    <n v="929.95"/>
    <x v="0"/>
    <x v="3"/>
    <x v="1"/>
  </r>
  <r>
    <x v="68"/>
    <s v="Jose Manuel"/>
    <x v="68"/>
    <n v="747024959"/>
    <x v="1"/>
    <x v="311"/>
    <x v="13"/>
    <n v="1248.17"/>
    <x v="2"/>
    <x v="3"/>
    <x v="0"/>
  </r>
  <r>
    <x v="245"/>
    <s v="Cornelio"/>
    <x v="245"/>
    <n v="744201404"/>
    <x v="0"/>
    <x v="443"/>
    <x v="20"/>
    <n v="1731.54"/>
    <x v="0"/>
    <x v="1"/>
    <x v="0"/>
  </r>
  <r>
    <x v="388"/>
    <s v="Julio César"/>
    <x v="388"/>
    <n v="719517916"/>
    <x v="0"/>
    <x v="285"/>
    <x v="17"/>
    <n v="187.56"/>
    <x v="0"/>
    <x v="2"/>
    <x v="1"/>
  </r>
  <r>
    <x v="53"/>
    <s v="Eufemia"/>
    <x v="53"/>
    <n v="859966448"/>
    <x v="1"/>
    <x v="232"/>
    <x v="11"/>
    <n v="563.96"/>
    <x v="0"/>
    <x v="4"/>
    <x v="1"/>
  </r>
  <r>
    <x v="389"/>
    <s v="Sandalio"/>
    <x v="389"/>
    <n v="604558275"/>
    <x v="1"/>
    <x v="295"/>
    <x v="10"/>
    <n v="1325.29"/>
    <x v="0"/>
    <x v="3"/>
    <x v="1"/>
  </r>
  <r>
    <x v="122"/>
    <s v="Sol"/>
    <x v="122"/>
    <n v="911729847"/>
    <x v="1"/>
    <x v="229"/>
    <x v="23"/>
    <n v="250.78"/>
    <x v="0"/>
    <x v="1"/>
    <x v="0"/>
  </r>
  <r>
    <x v="109"/>
    <s v="Román"/>
    <x v="109"/>
    <n v="681942999"/>
    <x v="0"/>
    <x v="244"/>
    <x v="6"/>
    <n v="1521.54"/>
    <x v="0"/>
    <x v="3"/>
    <x v="1"/>
  </r>
  <r>
    <x v="390"/>
    <s v="Socorro"/>
    <x v="390"/>
    <n v="879206409"/>
    <x v="0"/>
    <x v="444"/>
    <x v="1"/>
    <n v="1432.6"/>
    <x v="0"/>
    <x v="3"/>
    <x v="1"/>
  </r>
  <r>
    <x v="97"/>
    <s v="Federico"/>
    <x v="97"/>
    <n v="733325222"/>
    <x v="0"/>
    <x v="445"/>
    <x v="14"/>
    <n v="1158.71"/>
    <x v="0"/>
    <x v="2"/>
    <x v="0"/>
  </r>
  <r>
    <x v="242"/>
    <s v="Liliana"/>
    <x v="242"/>
    <n v="737596279"/>
    <x v="0"/>
    <x v="31"/>
    <x v="21"/>
    <n v="671.15"/>
    <x v="0"/>
    <x v="0"/>
    <x v="0"/>
  </r>
  <r>
    <x v="26"/>
    <s v="Isaías"/>
    <x v="26"/>
    <n v="892859188"/>
    <x v="0"/>
    <x v="401"/>
    <x v="13"/>
    <n v="311.05"/>
    <x v="0"/>
    <x v="2"/>
    <x v="0"/>
  </r>
  <r>
    <x v="239"/>
    <s v="Estela"/>
    <x v="239"/>
    <n v="722992018"/>
    <x v="0"/>
    <x v="446"/>
    <x v="12"/>
    <n v="1144.9100000000001"/>
    <x v="0"/>
    <x v="1"/>
    <x v="1"/>
  </r>
  <r>
    <x v="122"/>
    <s v="Sol"/>
    <x v="122"/>
    <n v="911729847"/>
    <x v="1"/>
    <x v="374"/>
    <x v="23"/>
    <n v="1193"/>
    <x v="0"/>
    <x v="4"/>
    <x v="0"/>
  </r>
  <r>
    <x v="391"/>
    <s v="Cipriano"/>
    <x v="391"/>
    <n v="877322134"/>
    <x v="1"/>
    <x v="332"/>
    <x v="5"/>
    <n v="1405.64"/>
    <x v="2"/>
    <x v="3"/>
    <x v="1"/>
  </r>
  <r>
    <x v="134"/>
    <s v="Reynaldo"/>
    <x v="134"/>
    <n v="633388134"/>
    <x v="0"/>
    <x v="264"/>
    <x v="18"/>
    <n v="224.75"/>
    <x v="0"/>
    <x v="2"/>
    <x v="0"/>
  </r>
  <r>
    <x v="98"/>
    <s v="Augusto"/>
    <x v="98"/>
    <n v="970397357"/>
    <x v="1"/>
    <x v="83"/>
    <x v="2"/>
    <n v="1436.55"/>
    <x v="0"/>
    <x v="1"/>
    <x v="0"/>
  </r>
  <r>
    <x v="353"/>
    <s v="Zaira"/>
    <x v="353"/>
    <n v="703370540"/>
    <x v="0"/>
    <x v="447"/>
    <x v="11"/>
    <n v="1595.92"/>
    <x v="0"/>
    <x v="2"/>
    <x v="1"/>
  </r>
  <r>
    <x v="392"/>
    <s v="Delia"/>
    <x v="392"/>
    <n v="736625467"/>
    <x v="1"/>
    <x v="448"/>
    <x v="7"/>
    <n v="565.07000000000005"/>
    <x v="2"/>
    <x v="1"/>
    <x v="0"/>
  </r>
  <r>
    <x v="24"/>
    <s v="Reynaldo"/>
    <x v="24"/>
    <n v="735061596"/>
    <x v="1"/>
    <x v="449"/>
    <x v="4"/>
    <n v="967.49"/>
    <x v="0"/>
    <x v="0"/>
    <x v="0"/>
  </r>
  <r>
    <x v="393"/>
    <s v="Alondra"/>
    <x v="393"/>
    <n v="715969206"/>
    <x v="1"/>
    <x v="150"/>
    <x v="1"/>
    <n v="1324.51"/>
    <x v="0"/>
    <x v="3"/>
    <x v="1"/>
  </r>
  <r>
    <x v="394"/>
    <s v="Loida"/>
    <x v="394"/>
    <n v="739478837"/>
    <x v="1"/>
    <x v="311"/>
    <x v="2"/>
    <n v="931.09"/>
    <x v="2"/>
    <x v="2"/>
    <x v="0"/>
  </r>
  <r>
    <x v="176"/>
    <s v="Ricarda"/>
    <x v="176"/>
    <n v="713999592"/>
    <x v="0"/>
    <x v="245"/>
    <x v="2"/>
    <n v="426.16"/>
    <x v="2"/>
    <x v="4"/>
    <x v="0"/>
  </r>
  <r>
    <x v="201"/>
    <s v="Azucena"/>
    <x v="201"/>
    <n v="709339074"/>
    <x v="0"/>
    <x v="45"/>
    <x v="12"/>
    <n v="1956.13"/>
    <x v="0"/>
    <x v="1"/>
    <x v="0"/>
  </r>
  <r>
    <x v="149"/>
    <s v="Dan"/>
    <x v="149"/>
    <n v="719409141"/>
    <x v="1"/>
    <x v="450"/>
    <x v="22"/>
    <n v="1771.06"/>
    <x v="0"/>
    <x v="3"/>
    <x v="0"/>
  </r>
  <r>
    <x v="229"/>
    <s v="Lucas"/>
    <x v="229"/>
    <n v="741519428"/>
    <x v="0"/>
    <x v="451"/>
    <x v="11"/>
    <n v="1153.52"/>
    <x v="0"/>
    <x v="1"/>
    <x v="1"/>
  </r>
  <r>
    <x v="75"/>
    <s v="Mohamed"/>
    <x v="75"/>
    <n v="655270350"/>
    <x v="1"/>
    <x v="452"/>
    <x v="16"/>
    <n v="1943.57"/>
    <x v="0"/>
    <x v="0"/>
    <x v="0"/>
  </r>
  <r>
    <x v="93"/>
    <s v="Eleuterio"/>
    <x v="93"/>
    <n v="802128905"/>
    <x v="0"/>
    <x v="453"/>
    <x v="0"/>
    <n v="1422.07"/>
    <x v="0"/>
    <x v="3"/>
    <x v="0"/>
  </r>
  <r>
    <x v="248"/>
    <s v="Fabián"/>
    <x v="248"/>
    <n v="728722101"/>
    <x v="0"/>
    <x v="454"/>
    <x v="3"/>
    <n v="1645.16"/>
    <x v="1"/>
    <x v="3"/>
    <x v="1"/>
  </r>
  <r>
    <x v="364"/>
    <s v="Sarita"/>
    <x v="364"/>
    <n v="742697581"/>
    <x v="0"/>
    <x v="445"/>
    <x v="7"/>
    <n v="779.27"/>
    <x v="0"/>
    <x v="1"/>
    <x v="0"/>
  </r>
  <r>
    <x v="395"/>
    <s v="Fidel"/>
    <x v="395"/>
    <n v="704920235"/>
    <x v="1"/>
    <x v="134"/>
    <x v="7"/>
    <n v="1915.03"/>
    <x v="0"/>
    <x v="3"/>
    <x v="0"/>
  </r>
  <r>
    <x v="153"/>
    <s v="Calixta"/>
    <x v="153"/>
    <n v="732688394"/>
    <x v="0"/>
    <x v="455"/>
    <x v="6"/>
    <n v="868.33"/>
    <x v="2"/>
    <x v="4"/>
    <x v="1"/>
  </r>
  <r>
    <x v="396"/>
    <s v="Cecilio"/>
    <x v="396"/>
    <n v="966229025"/>
    <x v="0"/>
    <x v="456"/>
    <x v="18"/>
    <n v="1478.79"/>
    <x v="2"/>
    <x v="2"/>
    <x v="1"/>
  </r>
  <r>
    <x v="54"/>
    <s v="Pascual"/>
    <x v="54"/>
    <n v="743862708"/>
    <x v="0"/>
    <x v="457"/>
    <x v="8"/>
    <n v="1975.25"/>
    <x v="0"/>
    <x v="5"/>
    <x v="0"/>
  </r>
  <r>
    <x v="77"/>
    <s v="Benito"/>
    <x v="77"/>
    <n v="937606933"/>
    <x v="0"/>
    <x v="458"/>
    <x v="8"/>
    <n v="1345.85"/>
    <x v="0"/>
    <x v="1"/>
    <x v="1"/>
  </r>
  <r>
    <x v="11"/>
    <s v="Plácido"/>
    <x v="11"/>
    <n v="806023701"/>
    <x v="0"/>
    <x v="459"/>
    <x v="6"/>
    <n v="760.86"/>
    <x v="0"/>
    <x v="3"/>
    <x v="0"/>
  </r>
  <r>
    <x v="397"/>
    <s v="Maximino"/>
    <x v="397"/>
    <n v="738123474"/>
    <x v="0"/>
    <x v="460"/>
    <x v="23"/>
    <n v="1629.91"/>
    <x v="0"/>
    <x v="1"/>
    <x v="0"/>
  </r>
  <r>
    <x v="398"/>
    <s v="Armando"/>
    <x v="398"/>
    <n v="743281688"/>
    <x v="1"/>
    <x v="133"/>
    <x v="6"/>
    <n v="1243.48"/>
    <x v="0"/>
    <x v="4"/>
    <x v="1"/>
  </r>
  <r>
    <x v="399"/>
    <s v="José"/>
    <x v="399"/>
    <n v="702573842"/>
    <x v="0"/>
    <x v="391"/>
    <x v="13"/>
    <n v="1369.52"/>
    <x v="0"/>
    <x v="1"/>
    <x v="1"/>
  </r>
  <r>
    <x v="339"/>
    <s v="Verónica"/>
    <x v="339"/>
    <n v="923537231"/>
    <x v="0"/>
    <x v="50"/>
    <x v="19"/>
    <n v="474.31"/>
    <x v="0"/>
    <x v="4"/>
    <x v="0"/>
  </r>
  <r>
    <x v="26"/>
    <s v="Isaías"/>
    <x v="26"/>
    <n v="892859188"/>
    <x v="0"/>
    <x v="261"/>
    <x v="13"/>
    <n v="629.67999999999995"/>
    <x v="0"/>
    <x v="2"/>
    <x v="0"/>
  </r>
  <r>
    <x v="400"/>
    <s v="Fabiana"/>
    <x v="400"/>
    <n v="726726630"/>
    <x v="0"/>
    <x v="406"/>
    <x v="8"/>
    <n v="447.42"/>
    <x v="0"/>
    <x v="4"/>
    <x v="0"/>
  </r>
  <r>
    <x v="401"/>
    <s v="Cayetana"/>
    <x v="401"/>
    <n v="805450275"/>
    <x v="2"/>
    <x v="8"/>
    <x v="14"/>
    <n v="934.58"/>
    <x v="0"/>
    <x v="3"/>
    <x v="0"/>
  </r>
  <r>
    <x v="402"/>
    <s v="Pastora"/>
    <x v="402"/>
    <n v="876896889"/>
    <x v="1"/>
    <x v="236"/>
    <x v="14"/>
    <n v="77.87"/>
    <x v="0"/>
    <x v="3"/>
    <x v="0"/>
  </r>
  <r>
    <x v="375"/>
    <s v="Eutropio"/>
    <x v="375"/>
    <n v="639659594"/>
    <x v="0"/>
    <x v="122"/>
    <x v="15"/>
    <n v="1015.15"/>
    <x v="0"/>
    <x v="2"/>
    <x v="0"/>
  </r>
  <r>
    <x v="403"/>
    <s v="Armida"/>
    <x v="403"/>
    <n v="942844383"/>
    <x v="0"/>
    <x v="142"/>
    <x v="13"/>
    <n v="952.75"/>
    <x v="0"/>
    <x v="3"/>
    <x v="0"/>
  </r>
  <r>
    <x v="77"/>
    <s v="Benito"/>
    <x v="77"/>
    <n v="937606933"/>
    <x v="0"/>
    <x v="461"/>
    <x v="8"/>
    <n v="1236.52"/>
    <x v="0"/>
    <x v="2"/>
    <x v="0"/>
  </r>
  <r>
    <x v="404"/>
    <s v="Ciríaco"/>
    <x v="404"/>
    <n v="915781255"/>
    <x v="2"/>
    <x v="37"/>
    <x v="4"/>
    <n v="545.41"/>
    <x v="0"/>
    <x v="0"/>
    <x v="0"/>
  </r>
  <r>
    <x v="90"/>
    <s v="Rolando"/>
    <x v="90"/>
    <n v="709840779"/>
    <x v="2"/>
    <x v="462"/>
    <x v="3"/>
    <n v="722.88"/>
    <x v="0"/>
    <x v="2"/>
    <x v="1"/>
  </r>
  <r>
    <x v="382"/>
    <s v="Gertrudis"/>
    <x v="382"/>
    <n v="870444420"/>
    <x v="0"/>
    <x v="390"/>
    <x v="3"/>
    <n v="26.96"/>
    <x v="0"/>
    <x v="2"/>
    <x v="0"/>
  </r>
  <r>
    <x v="352"/>
    <s v="Concepción"/>
    <x v="352"/>
    <n v="717920847"/>
    <x v="0"/>
    <x v="463"/>
    <x v="7"/>
    <n v="826.77"/>
    <x v="0"/>
    <x v="2"/>
    <x v="0"/>
  </r>
  <r>
    <x v="19"/>
    <s v="Che"/>
    <x v="19"/>
    <n v="719563621"/>
    <x v="1"/>
    <x v="57"/>
    <x v="11"/>
    <n v="293.93"/>
    <x v="0"/>
    <x v="3"/>
    <x v="0"/>
  </r>
  <r>
    <x v="66"/>
    <s v="Marcelino"/>
    <x v="66"/>
    <n v="719919620"/>
    <x v="0"/>
    <x v="192"/>
    <x v="15"/>
    <n v="1469.78"/>
    <x v="0"/>
    <x v="1"/>
    <x v="1"/>
  </r>
  <r>
    <x v="117"/>
    <s v="Dolores"/>
    <x v="117"/>
    <n v="608275218"/>
    <x v="0"/>
    <x v="72"/>
    <x v="11"/>
    <n v="507.92"/>
    <x v="0"/>
    <x v="3"/>
    <x v="0"/>
  </r>
  <r>
    <x v="129"/>
    <s v="Jerónimo"/>
    <x v="129"/>
    <n v="653146228"/>
    <x v="1"/>
    <x v="221"/>
    <x v="12"/>
    <n v="871.55"/>
    <x v="0"/>
    <x v="4"/>
    <x v="1"/>
  </r>
  <r>
    <x v="170"/>
    <s v="Alejo"/>
    <x v="170"/>
    <n v="727278182"/>
    <x v="0"/>
    <x v="464"/>
    <x v="21"/>
    <n v="546.45000000000005"/>
    <x v="0"/>
    <x v="3"/>
    <x v="0"/>
  </r>
  <r>
    <x v="346"/>
    <s v="Blanca"/>
    <x v="346"/>
    <n v="858084159"/>
    <x v="2"/>
    <x v="465"/>
    <x v="2"/>
    <n v="1916.53"/>
    <x v="1"/>
    <x v="3"/>
    <x v="0"/>
  </r>
  <r>
    <x v="1"/>
    <s v="Román"/>
    <x v="1"/>
    <n v="704413195"/>
    <x v="1"/>
    <x v="170"/>
    <x v="1"/>
    <n v="1568.9"/>
    <x v="1"/>
    <x v="3"/>
    <x v="1"/>
  </r>
  <r>
    <x v="405"/>
    <s v="Gil"/>
    <x v="405"/>
    <n v="737928942"/>
    <x v="0"/>
    <x v="186"/>
    <x v="2"/>
    <n v="1889.17"/>
    <x v="1"/>
    <x v="2"/>
    <x v="0"/>
  </r>
  <r>
    <x v="318"/>
    <s v="Begoña"/>
    <x v="318"/>
    <n v="722110763"/>
    <x v="2"/>
    <x v="376"/>
    <x v="13"/>
    <n v="1509.92"/>
    <x v="0"/>
    <x v="2"/>
    <x v="0"/>
  </r>
  <r>
    <x v="23"/>
    <s v="Maricela"/>
    <x v="23"/>
    <n v="740369847"/>
    <x v="1"/>
    <x v="466"/>
    <x v="9"/>
    <n v="337.79"/>
    <x v="0"/>
    <x v="3"/>
    <x v="0"/>
  </r>
  <r>
    <x v="218"/>
    <s v="Leonardo"/>
    <x v="218"/>
    <n v="704650325"/>
    <x v="2"/>
    <x v="467"/>
    <x v="11"/>
    <n v="354.88"/>
    <x v="0"/>
    <x v="3"/>
    <x v="0"/>
  </r>
  <r>
    <x v="310"/>
    <s v="Amparo"/>
    <x v="310"/>
    <n v="820771678"/>
    <x v="0"/>
    <x v="468"/>
    <x v="3"/>
    <n v="1397.57"/>
    <x v="0"/>
    <x v="2"/>
    <x v="1"/>
  </r>
  <r>
    <x v="132"/>
    <s v="Nacho"/>
    <x v="132"/>
    <n v="704058112"/>
    <x v="1"/>
    <x v="147"/>
    <x v="0"/>
    <n v="495.28"/>
    <x v="0"/>
    <x v="3"/>
    <x v="1"/>
  </r>
  <r>
    <x v="347"/>
    <s v="Perla"/>
    <x v="347"/>
    <n v="828808869"/>
    <x v="0"/>
    <x v="80"/>
    <x v="2"/>
    <n v="303.32"/>
    <x v="0"/>
    <x v="1"/>
    <x v="0"/>
  </r>
  <r>
    <x v="29"/>
    <s v="Sebastián"/>
    <x v="29"/>
    <n v="727899933"/>
    <x v="1"/>
    <x v="165"/>
    <x v="8"/>
    <n v="582.17999999999995"/>
    <x v="1"/>
    <x v="3"/>
    <x v="0"/>
  </r>
  <r>
    <x v="295"/>
    <s v="Fabiola"/>
    <x v="295"/>
    <n v="716805697"/>
    <x v="0"/>
    <x v="312"/>
    <x v="5"/>
    <n v="187.91"/>
    <x v="0"/>
    <x v="3"/>
    <x v="1"/>
  </r>
  <r>
    <x v="304"/>
    <s v="Amarilis"/>
    <x v="304"/>
    <n v="714801888"/>
    <x v="2"/>
    <x v="469"/>
    <x v="9"/>
    <n v="1351.09"/>
    <x v="0"/>
    <x v="0"/>
    <x v="1"/>
  </r>
  <r>
    <x v="183"/>
    <s v="Manu"/>
    <x v="183"/>
    <n v="704105492"/>
    <x v="1"/>
    <x v="470"/>
    <x v="22"/>
    <n v="210.83"/>
    <x v="0"/>
    <x v="4"/>
    <x v="0"/>
  </r>
  <r>
    <x v="103"/>
    <s v="Emilia"/>
    <x v="103"/>
    <n v="721361791"/>
    <x v="0"/>
    <x v="17"/>
    <x v="7"/>
    <n v="1804.56"/>
    <x v="0"/>
    <x v="3"/>
    <x v="0"/>
  </r>
  <r>
    <x v="406"/>
    <s v="Isabel"/>
    <x v="406"/>
    <n v="721786256"/>
    <x v="0"/>
    <x v="471"/>
    <x v="4"/>
    <n v="1646.04"/>
    <x v="0"/>
    <x v="0"/>
    <x v="0"/>
  </r>
  <r>
    <x v="138"/>
    <s v="Faustino"/>
    <x v="138"/>
    <n v="744459838"/>
    <x v="0"/>
    <x v="299"/>
    <x v="8"/>
    <n v="435.58"/>
    <x v="0"/>
    <x v="2"/>
    <x v="0"/>
  </r>
  <r>
    <x v="407"/>
    <s v="Florencia"/>
    <x v="407"/>
    <n v="707329571"/>
    <x v="1"/>
    <x v="472"/>
    <x v="14"/>
    <n v="845.87"/>
    <x v="0"/>
    <x v="3"/>
    <x v="1"/>
  </r>
  <r>
    <x v="40"/>
    <s v="Elvira"/>
    <x v="40"/>
    <n v="731725140"/>
    <x v="0"/>
    <x v="349"/>
    <x v="1"/>
    <n v="97.46"/>
    <x v="0"/>
    <x v="1"/>
    <x v="1"/>
  </r>
  <r>
    <x v="385"/>
    <s v="Yaiza"/>
    <x v="385"/>
    <n v="639108490"/>
    <x v="0"/>
    <x v="310"/>
    <x v="16"/>
    <n v="160.5"/>
    <x v="0"/>
    <x v="5"/>
    <x v="1"/>
  </r>
  <r>
    <x v="298"/>
    <s v="Zoraida"/>
    <x v="298"/>
    <n v="917893213"/>
    <x v="1"/>
    <x v="365"/>
    <x v="7"/>
    <n v="505.86"/>
    <x v="0"/>
    <x v="0"/>
    <x v="0"/>
  </r>
  <r>
    <x v="191"/>
    <s v="Primitiva"/>
    <x v="191"/>
    <n v="887900324"/>
    <x v="0"/>
    <x v="333"/>
    <x v="19"/>
    <n v="1444.17"/>
    <x v="1"/>
    <x v="4"/>
    <x v="0"/>
  </r>
  <r>
    <x v="332"/>
    <s v="Adelia"/>
    <x v="332"/>
    <n v="636255184"/>
    <x v="0"/>
    <x v="447"/>
    <x v="1"/>
    <n v="1153.6199999999999"/>
    <x v="0"/>
    <x v="3"/>
    <x v="0"/>
  </r>
  <r>
    <x v="330"/>
    <s v="Juan Pablo"/>
    <x v="330"/>
    <n v="694844051"/>
    <x v="0"/>
    <x v="473"/>
    <x v="5"/>
    <n v="1609.09"/>
    <x v="0"/>
    <x v="3"/>
    <x v="0"/>
  </r>
  <r>
    <x v="408"/>
    <s v="Jose Antonio"/>
    <x v="408"/>
    <n v="713007657"/>
    <x v="2"/>
    <x v="474"/>
    <x v="15"/>
    <n v="1199.55"/>
    <x v="0"/>
    <x v="0"/>
    <x v="0"/>
  </r>
  <r>
    <x v="409"/>
    <s v="Celestino"/>
    <x v="409"/>
    <n v="878768666"/>
    <x v="2"/>
    <x v="162"/>
    <x v="18"/>
    <n v="283.02"/>
    <x v="0"/>
    <x v="1"/>
    <x v="0"/>
  </r>
  <r>
    <x v="68"/>
    <s v="Jose Manuel"/>
    <x v="68"/>
    <n v="747024959"/>
    <x v="1"/>
    <x v="475"/>
    <x v="13"/>
    <n v="46.42"/>
    <x v="0"/>
    <x v="3"/>
    <x v="0"/>
  </r>
  <r>
    <x v="48"/>
    <s v="Flavia"/>
    <x v="48"/>
    <n v="705389520"/>
    <x v="2"/>
    <x v="476"/>
    <x v="6"/>
    <n v="1273.04"/>
    <x v="0"/>
    <x v="3"/>
    <x v="0"/>
  </r>
  <r>
    <x v="61"/>
    <s v="José Ángel"/>
    <x v="61"/>
    <n v="748347564"/>
    <x v="1"/>
    <x v="303"/>
    <x v="4"/>
    <n v="1807.86"/>
    <x v="0"/>
    <x v="0"/>
    <x v="1"/>
  </r>
  <r>
    <x v="410"/>
    <s v="Rufino"/>
    <x v="410"/>
    <n v="730694210"/>
    <x v="1"/>
    <x v="360"/>
    <x v="3"/>
    <n v="1810.33"/>
    <x v="0"/>
    <x v="3"/>
    <x v="0"/>
  </r>
  <r>
    <x v="411"/>
    <s v="Evangelina"/>
    <x v="411"/>
    <n v="746518380"/>
    <x v="1"/>
    <x v="95"/>
    <x v="20"/>
    <n v="335.99"/>
    <x v="0"/>
    <x v="2"/>
    <x v="1"/>
  </r>
  <r>
    <x v="151"/>
    <s v="Roque"/>
    <x v="151"/>
    <n v="724968308"/>
    <x v="0"/>
    <x v="412"/>
    <x v="1"/>
    <n v="1700.92"/>
    <x v="0"/>
    <x v="4"/>
    <x v="1"/>
  </r>
  <r>
    <x v="275"/>
    <s v="María"/>
    <x v="275"/>
    <n v="919457468"/>
    <x v="0"/>
    <x v="477"/>
    <x v="10"/>
    <n v="307.37"/>
    <x v="0"/>
    <x v="2"/>
    <x v="1"/>
  </r>
  <r>
    <x v="412"/>
    <s v="Alma"/>
    <x v="412"/>
    <n v="876034490"/>
    <x v="1"/>
    <x v="286"/>
    <x v="14"/>
    <n v="1637.23"/>
    <x v="2"/>
    <x v="1"/>
    <x v="0"/>
  </r>
  <r>
    <x v="226"/>
    <s v="Luciana"/>
    <x v="226"/>
    <n v="748416256"/>
    <x v="0"/>
    <x v="461"/>
    <x v="2"/>
    <n v="1213.6099999999999"/>
    <x v="0"/>
    <x v="2"/>
    <x v="1"/>
  </r>
  <r>
    <x v="257"/>
    <s v="Ruperto"/>
    <x v="257"/>
    <n v="854810022"/>
    <x v="1"/>
    <x v="478"/>
    <x v="12"/>
    <n v="176.71"/>
    <x v="0"/>
    <x v="2"/>
    <x v="0"/>
  </r>
  <r>
    <x v="413"/>
    <s v="Tadeo"/>
    <x v="413"/>
    <n v="865720278"/>
    <x v="0"/>
    <x v="479"/>
    <x v="7"/>
    <n v="1650.85"/>
    <x v="0"/>
    <x v="4"/>
    <x v="0"/>
  </r>
  <r>
    <x v="71"/>
    <s v="Régulo"/>
    <x v="71"/>
    <n v="841231253"/>
    <x v="0"/>
    <x v="76"/>
    <x v="10"/>
    <n v="415.71"/>
    <x v="0"/>
    <x v="2"/>
    <x v="0"/>
  </r>
  <r>
    <x v="234"/>
    <s v="Felix"/>
    <x v="234"/>
    <n v="741356026"/>
    <x v="0"/>
    <x v="480"/>
    <x v="15"/>
    <n v="1172.6099999999999"/>
    <x v="0"/>
    <x v="2"/>
    <x v="0"/>
  </r>
  <r>
    <x v="156"/>
    <s v="Nuria"/>
    <x v="156"/>
    <n v="719129176"/>
    <x v="1"/>
    <x v="481"/>
    <x v="5"/>
    <n v="513.73"/>
    <x v="1"/>
    <x v="3"/>
    <x v="1"/>
  </r>
  <r>
    <x v="103"/>
    <s v="Emilia"/>
    <x v="103"/>
    <n v="721361791"/>
    <x v="0"/>
    <x v="248"/>
    <x v="7"/>
    <n v="360.73"/>
    <x v="0"/>
    <x v="3"/>
    <x v="1"/>
  </r>
  <r>
    <x v="18"/>
    <s v="Carmina"/>
    <x v="18"/>
    <n v="879596240"/>
    <x v="2"/>
    <x v="440"/>
    <x v="3"/>
    <n v="500.98"/>
    <x v="0"/>
    <x v="1"/>
    <x v="1"/>
  </r>
  <r>
    <x v="265"/>
    <s v="Anabel"/>
    <x v="265"/>
    <n v="721566153"/>
    <x v="0"/>
    <x v="268"/>
    <x v="11"/>
    <n v="345.99"/>
    <x v="0"/>
    <x v="5"/>
    <x v="1"/>
  </r>
  <r>
    <x v="168"/>
    <s v="Encarna"/>
    <x v="168"/>
    <n v="612365010"/>
    <x v="1"/>
    <x v="482"/>
    <x v="23"/>
    <n v="1040.1199999999999"/>
    <x v="0"/>
    <x v="1"/>
    <x v="0"/>
  </r>
  <r>
    <x v="106"/>
    <s v="Juan Bautista"/>
    <x v="106"/>
    <n v="723547702"/>
    <x v="0"/>
    <x v="483"/>
    <x v="21"/>
    <n v="983.55"/>
    <x v="0"/>
    <x v="0"/>
    <x v="1"/>
  </r>
  <r>
    <x v="39"/>
    <s v="Pepe"/>
    <x v="39"/>
    <n v="700258650"/>
    <x v="0"/>
    <x v="333"/>
    <x v="0"/>
    <n v="723.75"/>
    <x v="0"/>
    <x v="1"/>
    <x v="1"/>
  </r>
  <r>
    <x v="414"/>
    <s v="César"/>
    <x v="414"/>
    <n v="895649355"/>
    <x v="1"/>
    <x v="42"/>
    <x v="7"/>
    <n v="451.55"/>
    <x v="2"/>
    <x v="3"/>
    <x v="1"/>
  </r>
  <r>
    <x v="235"/>
    <s v="Rosa María"/>
    <x v="235"/>
    <n v="725307458"/>
    <x v="0"/>
    <x v="208"/>
    <x v="15"/>
    <n v="1173.0999999999999"/>
    <x v="0"/>
    <x v="2"/>
    <x v="1"/>
  </r>
  <r>
    <x v="415"/>
    <s v="Octavio"/>
    <x v="415"/>
    <n v="714491763"/>
    <x v="1"/>
    <x v="484"/>
    <x v="11"/>
    <n v="706.33"/>
    <x v="1"/>
    <x v="4"/>
    <x v="0"/>
  </r>
  <r>
    <x v="416"/>
    <s v="Georgina"/>
    <x v="416"/>
    <n v="745334445"/>
    <x v="1"/>
    <x v="186"/>
    <x v="10"/>
    <n v="1969.78"/>
    <x v="0"/>
    <x v="3"/>
    <x v="0"/>
  </r>
  <r>
    <x v="179"/>
    <s v="Felicidad"/>
    <x v="179"/>
    <n v="632927895"/>
    <x v="0"/>
    <x v="485"/>
    <x v="22"/>
    <n v="1259.5"/>
    <x v="2"/>
    <x v="1"/>
    <x v="1"/>
  </r>
  <r>
    <x v="417"/>
    <s v="Félix"/>
    <x v="417"/>
    <n v="729679272"/>
    <x v="1"/>
    <x v="486"/>
    <x v="23"/>
    <n v="1491.45"/>
    <x v="0"/>
    <x v="3"/>
    <x v="1"/>
  </r>
  <r>
    <x v="326"/>
    <s v="Luisa"/>
    <x v="326"/>
    <n v="741532244"/>
    <x v="0"/>
    <x v="487"/>
    <x v="1"/>
    <n v="659.86"/>
    <x v="0"/>
    <x v="1"/>
    <x v="0"/>
  </r>
  <r>
    <x v="415"/>
    <s v="Octavio"/>
    <x v="415"/>
    <n v="714491763"/>
    <x v="1"/>
    <x v="7"/>
    <x v="11"/>
    <n v="383.82"/>
    <x v="0"/>
    <x v="5"/>
    <x v="1"/>
  </r>
  <r>
    <x v="222"/>
    <s v="Andrea"/>
    <x v="222"/>
    <n v="740872409"/>
    <x v="1"/>
    <x v="3"/>
    <x v="13"/>
    <n v="229.36"/>
    <x v="0"/>
    <x v="3"/>
    <x v="1"/>
  </r>
  <r>
    <x v="128"/>
    <s v="Dorotea"/>
    <x v="128"/>
    <n v="710265150"/>
    <x v="1"/>
    <x v="488"/>
    <x v="19"/>
    <n v="780.89"/>
    <x v="0"/>
    <x v="0"/>
    <x v="0"/>
  </r>
  <r>
    <x v="30"/>
    <s v="Florentino"/>
    <x v="30"/>
    <n v="951987392"/>
    <x v="0"/>
    <x v="284"/>
    <x v="7"/>
    <n v="1727.53"/>
    <x v="2"/>
    <x v="2"/>
    <x v="0"/>
  </r>
  <r>
    <x v="418"/>
    <s v="Bibiana"/>
    <x v="418"/>
    <n v="924230623"/>
    <x v="0"/>
    <x v="144"/>
    <x v="16"/>
    <n v="1497.86"/>
    <x v="0"/>
    <x v="0"/>
    <x v="1"/>
  </r>
  <r>
    <x v="378"/>
    <s v="Fermín"/>
    <x v="378"/>
    <n v="809355979"/>
    <x v="0"/>
    <x v="489"/>
    <x v="3"/>
    <n v="1891.39"/>
    <x v="0"/>
    <x v="1"/>
    <x v="0"/>
  </r>
  <r>
    <x v="419"/>
    <s v="Vera"/>
    <x v="419"/>
    <n v="660996978"/>
    <x v="1"/>
    <x v="490"/>
    <x v="3"/>
    <n v="1113.3699999999999"/>
    <x v="0"/>
    <x v="3"/>
    <x v="1"/>
  </r>
  <r>
    <x v="420"/>
    <s v="Encarnita"/>
    <x v="420"/>
    <n v="910188029"/>
    <x v="1"/>
    <x v="229"/>
    <x v="7"/>
    <n v="119.19"/>
    <x v="0"/>
    <x v="3"/>
    <x v="1"/>
  </r>
  <r>
    <x v="374"/>
    <s v="Lourdes"/>
    <x v="374"/>
    <n v="927530563"/>
    <x v="0"/>
    <x v="217"/>
    <x v="7"/>
    <n v="1090.1600000000001"/>
    <x v="0"/>
    <x v="2"/>
    <x v="1"/>
  </r>
  <r>
    <x v="136"/>
    <s v="Nilda"/>
    <x v="136"/>
    <n v="992824041"/>
    <x v="2"/>
    <x v="454"/>
    <x v="20"/>
    <n v="1619.71"/>
    <x v="0"/>
    <x v="1"/>
    <x v="1"/>
  </r>
  <r>
    <x v="169"/>
    <s v="Eliseo"/>
    <x v="169"/>
    <n v="741006511"/>
    <x v="0"/>
    <x v="413"/>
    <x v="9"/>
    <n v="970.1"/>
    <x v="0"/>
    <x v="3"/>
    <x v="0"/>
  </r>
  <r>
    <x v="421"/>
    <s v="Visitación"/>
    <x v="421"/>
    <n v="937405090"/>
    <x v="2"/>
    <x v="491"/>
    <x v="12"/>
    <n v="1606.02"/>
    <x v="0"/>
    <x v="3"/>
    <x v="1"/>
  </r>
  <r>
    <x v="169"/>
    <s v="Eliseo"/>
    <x v="169"/>
    <n v="741006511"/>
    <x v="0"/>
    <x v="492"/>
    <x v="9"/>
    <n v="632.03"/>
    <x v="0"/>
    <x v="2"/>
    <x v="0"/>
  </r>
  <r>
    <x v="129"/>
    <s v="Jerónimo"/>
    <x v="129"/>
    <n v="653146228"/>
    <x v="1"/>
    <x v="493"/>
    <x v="12"/>
    <n v="1205.5"/>
    <x v="0"/>
    <x v="3"/>
    <x v="0"/>
  </r>
  <r>
    <x v="377"/>
    <s v="Victor Manuel"/>
    <x v="377"/>
    <n v="726225372"/>
    <x v="0"/>
    <x v="237"/>
    <x v="19"/>
    <n v="1330.77"/>
    <x v="0"/>
    <x v="1"/>
    <x v="0"/>
  </r>
  <r>
    <x v="47"/>
    <s v="Nicodemo"/>
    <x v="47"/>
    <n v="706921192"/>
    <x v="2"/>
    <x v="494"/>
    <x v="19"/>
    <n v="667.17"/>
    <x v="0"/>
    <x v="2"/>
    <x v="1"/>
  </r>
  <r>
    <x v="422"/>
    <s v="Fabiola"/>
    <x v="422"/>
    <n v="736322863"/>
    <x v="1"/>
    <x v="495"/>
    <x v="10"/>
    <n v="532.97"/>
    <x v="0"/>
    <x v="0"/>
    <x v="0"/>
  </r>
  <r>
    <x v="228"/>
    <s v="Anastasio"/>
    <x v="228"/>
    <n v="728737230"/>
    <x v="1"/>
    <x v="151"/>
    <x v="13"/>
    <n v="1831"/>
    <x v="0"/>
    <x v="3"/>
    <x v="0"/>
  </r>
  <r>
    <x v="423"/>
    <s v="Nadia"/>
    <x v="423"/>
    <n v="742835812"/>
    <x v="0"/>
    <x v="81"/>
    <x v="3"/>
    <n v="66.89"/>
    <x v="0"/>
    <x v="2"/>
    <x v="1"/>
  </r>
  <r>
    <x v="424"/>
    <s v="Candelaria"/>
    <x v="424"/>
    <n v="747183034"/>
    <x v="2"/>
    <x v="278"/>
    <x v="13"/>
    <n v="730.27"/>
    <x v="0"/>
    <x v="3"/>
    <x v="0"/>
  </r>
  <r>
    <x v="425"/>
    <s v="Teodoro"/>
    <x v="425"/>
    <n v="682290273"/>
    <x v="1"/>
    <x v="331"/>
    <x v="6"/>
    <n v="1260.43"/>
    <x v="2"/>
    <x v="3"/>
    <x v="1"/>
  </r>
  <r>
    <x v="246"/>
    <s v="Reyna"/>
    <x v="246"/>
    <n v="717190176"/>
    <x v="0"/>
    <x v="179"/>
    <x v="0"/>
    <n v="1589.97"/>
    <x v="0"/>
    <x v="1"/>
    <x v="1"/>
  </r>
  <r>
    <x v="76"/>
    <s v="Juan Pablo"/>
    <x v="76"/>
    <n v="866148409"/>
    <x v="0"/>
    <x v="183"/>
    <x v="16"/>
    <n v="936.59"/>
    <x v="0"/>
    <x v="1"/>
    <x v="1"/>
  </r>
  <r>
    <x v="426"/>
    <s v="Sebastian"/>
    <x v="426"/>
    <n v="899491733"/>
    <x v="0"/>
    <x v="270"/>
    <x v="18"/>
    <n v="358.32"/>
    <x v="0"/>
    <x v="2"/>
    <x v="0"/>
  </r>
  <r>
    <x v="389"/>
    <s v="Sandalio"/>
    <x v="389"/>
    <n v="604558275"/>
    <x v="1"/>
    <x v="261"/>
    <x v="10"/>
    <n v="1806.21"/>
    <x v="0"/>
    <x v="1"/>
    <x v="0"/>
  </r>
  <r>
    <x v="139"/>
    <s v="Úrsula"/>
    <x v="139"/>
    <n v="714356417"/>
    <x v="0"/>
    <x v="496"/>
    <x v="17"/>
    <n v="534.97"/>
    <x v="0"/>
    <x v="2"/>
    <x v="0"/>
  </r>
  <r>
    <x v="246"/>
    <s v="Reyna"/>
    <x v="246"/>
    <n v="717190176"/>
    <x v="0"/>
    <x v="346"/>
    <x v="0"/>
    <n v="956.8"/>
    <x v="1"/>
    <x v="2"/>
    <x v="1"/>
  </r>
  <r>
    <x v="153"/>
    <s v="Calixta"/>
    <x v="153"/>
    <n v="732688394"/>
    <x v="0"/>
    <x v="30"/>
    <x v="6"/>
    <n v="1458.56"/>
    <x v="0"/>
    <x v="4"/>
    <x v="1"/>
  </r>
  <r>
    <x v="11"/>
    <s v="Plácido"/>
    <x v="11"/>
    <n v="806023701"/>
    <x v="0"/>
    <x v="403"/>
    <x v="6"/>
    <n v="749.99"/>
    <x v="0"/>
    <x v="1"/>
    <x v="0"/>
  </r>
  <r>
    <x v="427"/>
    <s v="Angelita"/>
    <x v="427"/>
    <n v="636749216"/>
    <x v="0"/>
    <x v="490"/>
    <x v="19"/>
    <n v="58.74"/>
    <x v="0"/>
    <x v="3"/>
    <x v="1"/>
  </r>
  <r>
    <x v="148"/>
    <s v="Nicodemo"/>
    <x v="148"/>
    <n v="745350274"/>
    <x v="1"/>
    <x v="497"/>
    <x v="10"/>
    <n v="88.5"/>
    <x v="0"/>
    <x v="3"/>
    <x v="1"/>
  </r>
  <r>
    <x v="47"/>
    <s v="Nicodemo"/>
    <x v="47"/>
    <n v="706921192"/>
    <x v="2"/>
    <x v="498"/>
    <x v="19"/>
    <n v="71.5"/>
    <x v="0"/>
    <x v="0"/>
    <x v="0"/>
  </r>
  <r>
    <x v="92"/>
    <s v="Aarón"/>
    <x v="92"/>
    <n v="701528957"/>
    <x v="1"/>
    <x v="205"/>
    <x v="22"/>
    <n v="138.9"/>
    <x v="0"/>
    <x v="3"/>
    <x v="1"/>
  </r>
  <r>
    <x v="428"/>
    <s v="Cristian"/>
    <x v="428"/>
    <n v="648667212"/>
    <x v="0"/>
    <x v="237"/>
    <x v="11"/>
    <n v="1490.04"/>
    <x v="0"/>
    <x v="2"/>
    <x v="1"/>
  </r>
  <r>
    <x v="347"/>
    <s v="Perla"/>
    <x v="347"/>
    <n v="828808869"/>
    <x v="0"/>
    <x v="499"/>
    <x v="2"/>
    <n v="1900.24"/>
    <x v="0"/>
    <x v="3"/>
    <x v="0"/>
  </r>
  <r>
    <x v="140"/>
    <s v="Socorro"/>
    <x v="140"/>
    <n v="708352673"/>
    <x v="0"/>
    <x v="493"/>
    <x v="3"/>
    <n v="403.29"/>
    <x v="0"/>
    <x v="0"/>
    <x v="0"/>
  </r>
  <r>
    <x v="194"/>
    <s v="Tomás"/>
    <x v="194"/>
    <n v="737710108"/>
    <x v="0"/>
    <x v="452"/>
    <x v="15"/>
    <n v="962.7"/>
    <x v="0"/>
    <x v="1"/>
    <x v="0"/>
  </r>
  <r>
    <x v="429"/>
    <s v="Lorenza"/>
    <x v="429"/>
    <n v="731451704"/>
    <x v="0"/>
    <x v="500"/>
    <x v="4"/>
    <n v="1040.8900000000001"/>
    <x v="0"/>
    <x v="0"/>
    <x v="1"/>
  </r>
  <r>
    <x v="430"/>
    <s v="Santiago"/>
    <x v="430"/>
    <n v="746601492"/>
    <x v="0"/>
    <x v="259"/>
    <x v="1"/>
    <n v="28.81"/>
    <x v="0"/>
    <x v="2"/>
    <x v="0"/>
  </r>
  <r>
    <x v="221"/>
    <s v="Josep"/>
    <x v="221"/>
    <n v="707057282"/>
    <x v="2"/>
    <x v="8"/>
    <x v="19"/>
    <n v="1472.26"/>
    <x v="0"/>
    <x v="3"/>
    <x v="0"/>
  </r>
  <r>
    <x v="431"/>
    <s v="Pánfilo"/>
    <x v="431"/>
    <n v="947659636"/>
    <x v="1"/>
    <x v="311"/>
    <x v="23"/>
    <n v="1214.49"/>
    <x v="0"/>
    <x v="3"/>
    <x v="1"/>
  </r>
  <r>
    <x v="432"/>
    <s v="Aurora"/>
    <x v="432"/>
    <n v="809782522"/>
    <x v="0"/>
    <x v="413"/>
    <x v="0"/>
    <n v="430.16"/>
    <x v="1"/>
    <x v="3"/>
    <x v="1"/>
  </r>
  <r>
    <x v="133"/>
    <s v="Gaspar"/>
    <x v="133"/>
    <n v="734216317"/>
    <x v="0"/>
    <x v="321"/>
    <x v="14"/>
    <n v="1490.17"/>
    <x v="0"/>
    <x v="2"/>
    <x v="0"/>
  </r>
  <r>
    <x v="99"/>
    <s v="Leyre"/>
    <x v="99"/>
    <n v="649943369"/>
    <x v="1"/>
    <x v="501"/>
    <x v="5"/>
    <n v="1053.26"/>
    <x v="0"/>
    <x v="3"/>
    <x v="0"/>
  </r>
  <r>
    <x v="433"/>
    <s v="Anselmo"/>
    <x v="433"/>
    <n v="701538350"/>
    <x v="0"/>
    <x v="491"/>
    <x v="0"/>
    <n v="195.51"/>
    <x v="1"/>
    <x v="4"/>
    <x v="1"/>
  </r>
  <r>
    <x v="415"/>
    <s v="Octavio"/>
    <x v="415"/>
    <n v="714491763"/>
    <x v="1"/>
    <x v="173"/>
    <x v="11"/>
    <n v="825.62"/>
    <x v="0"/>
    <x v="3"/>
    <x v="0"/>
  </r>
  <r>
    <x v="158"/>
    <s v="Andrés Felipe"/>
    <x v="158"/>
    <n v="703436635"/>
    <x v="0"/>
    <x v="110"/>
    <x v="16"/>
    <n v="1127.45"/>
    <x v="0"/>
    <x v="1"/>
    <x v="1"/>
  </r>
  <r>
    <x v="434"/>
    <s v="Gertrudis"/>
    <x v="434"/>
    <n v="841242864"/>
    <x v="1"/>
    <x v="502"/>
    <x v="21"/>
    <n v="503.33"/>
    <x v="0"/>
    <x v="3"/>
    <x v="0"/>
  </r>
  <r>
    <x v="212"/>
    <s v="Andrea"/>
    <x v="212"/>
    <n v="803943952"/>
    <x v="2"/>
    <x v="503"/>
    <x v="4"/>
    <n v="981.08"/>
    <x v="2"/>
    <x v="0"/>
    <x v="0"/>
  </r>
  <r>
    <x v="406"/>
    <s v="Isabel"/>
    <x v="406"/>
    <n v="721786256"/>
    <x v="0"/>
    <x v="82"/>
    <x v="4"/>
    <n v="1647.85"/>
    <x v="0"/>
    <x v="2"/>
    <x v="0"/>
  </r>
  <r>
    <x v="223"/>
    <s v="Baudelio"/>
    <x v="223"/>
    <n v="924134952"/>
    <x v="1"/>
    <x v="47"/>
    <x v="0"/>
    <n v="1167.21"/>
    <x v="0"/>
    <x v="1"/>
    <x v="0"/>
  </r>
  <r>
    <x v="58"/>
    <s v="Clarisa"/>
    <x v="58"/>
    <n v="705986638"/>
    <x v="0"/>
    <x v="504"/>
    <x v="10"/>
    <n v="1213.9100000000001"/>
    <x v="0"/>
    <x v="2"/>
    <x v="1"/>
  </r>
  <r>
    <x v="145"/>
    <s v="Kike"/>
    <x v="145"/>
    <n v="819517980"/>
    <x v="2"/>
    <x v="333"/>
    <x v="4"/>
    <n v="58.54"/>
    <x v="0"/>
    <x v="3"/>
    <x v="0"/>
  </r>
  <r>
    <x v="41"/>
    <s v="Jaime"/>
    <x v="41"/>
    <n v="733805530"/>
    <x v="1"/>
    <x v="505"/>
    <x v="16"/>
    <n v="35.590000000000003"/>
    <x v="0"/>
    <x v="2"/>
    <x v="1"/>
  </r>
  <r>
    <x v="124"/>
    <s v="Adora"/>
    <x v="124"/>
    <n v="746643710"/>
    <x v="2"/>
    <x v="356"/>
    <x v="15"/>
    <n v="1837.03"/>
    <x v="0"/>
    <x v="2"/>
    <x v="0"/>
  </r>
  <r>
    <x v="32"/>
    <s v="Concha"/>
    <x v="32"/>
    <n v="744875696"/>
    <x v="2"/>
    <x v="380"/>
    <x v="10"/>
    <n v="1147.4000000000001"/>
    <x v="0"/>
    <x v="3"/>
    <x v="1"/>
  </r>
  <r>
    <x v="435"/>
    <s v="César"/>
    <x v="435"/>
    <n v="740719365"/>
    <x v="0"/>
    <x v="506"/>
    <x v="21"/>
    <n v="712.26"/>
    <x v="0"/>
    <x v="0"/>
    <x v="0"/>
  </r>
  <r>
    <x v="436"/>
    <s v="Coral"/>
    <x v="436"/>
    <n v="967429433"/>
    <x v="1"/>
    <x v="460"/>
    <x v="17"/>
    <n v="889.79"/>
    <x v="0"/>
    <x v="1"/>
    <x v="0"/>
  </r>
  <r>
    <x v="5"/>
    <s v="Goyo"/>
    <x v="5"/>
    <n v="733868257"/>
    <x v="1"/>
    <x v="306"/>
    <x v="1"/>
    <n v="1837.26"/>
    <x v="0"/>
    <x v="0"/>
    <x v="1"/>
  </r>
  <r>
    <x v="200"/>
    <s v="Renata"/>
    <x v="200"/>
    <n v="710165186"/>
    <x v="0"/>
    <x v="507"/>
    <x v="13"/>
    <n v="1447.31"/>
    <x v="0"/>
    <x v="2"/>
    <x v="0"/>
  </r>
  <r>
    <x v="381"/>
    <s v="Narciso"/>
    <x v="381"/>
    <n v="701336805"/>
    <x v="1"/>
    <x v="508"/>
    <x v="5"/>
    <n v="1914.87"/>
    <x v="0"/>
    <x v="2"/>
    <x v="0"/>
  </r>
  <r>
    <x v="280"/>
    <s v="Lola"/>
    <x v="280"/>
    <n v="892885525"/>
    <x v="1"/>
    <x v="246"/>
    <x v="10"/>
    <n v="715.64"/>
    <x v="1"/>
    <x v="3"/>
    <x v="0"/>
  </r>
  <r>
    <x v="270"/>
    <s v="Saturnino"/>
    <x v="270"/>
    <n v="961014302"/>
    <x v="1"/>
    <x v="230"/>
    <x v="23"/>
    <n v="446.62"/>
    <x v="0"/>
    <x v="3"/>
    <x v="1"/>
  </r>
  <r>
    <x v="52"/>
    <s v="Poncio"/>
    <x v="52"/>
    <n v="699922916"/>
    <x v="0"/>
    <x v="509"/>
    <x v="20"/>
    <n v="1153.06"/>
    <x v="0"/>
    <x v="2"/>
    <x v="0"/>
  </r>
  <r>
    <x v="437"/>
    <s v="Adalberto"/>
    <x v="437"/>
    <n v="713494387"/>
    <x v="0"/>
    <x v="43"/>
    <x v="1"/>
    <n v="635.51"/>
    <x v="0"/>
    <x v="3"/>
    <x v="1"/>
  </r>
  <r>
    <x v="438"/>
    <s v="Vera"/>
    <x v="438"/>
    <n v="990539729"/>
    <x v="0"/>
    <x v="510"/>
    <x v="3"/>
    <n v="1300.8"/>
    <x v="0"/>
    <x v="2"/>
    <x v="0"/>
  </r>
  <r>
    <x v="439"/>
    <s v="Ágata"/>
    <x v="439"/>
    <n v="712187897"/>
    <x v="0"/>
    <x v="366"/>
    <x v="3"/>
    <n v="1161.32"/>
    <x v="0"/>
    <x v="1"/>
    <x v="1"/>
  </r>
  <r>
    <x v="229"/>
    <s v="Lucas"/>
    <x v="229"/>
    <n v="741519428"/>
    <x v="0"/>
    <x v="291"/>
    <x v="11"/>
    <n v="1105.26"/>
    <x v="0"/>
    <x v="1"/>
    <x v="0"/>
  </r>
  <r>
    <x v="397"/>
    <s v="Maximino"/>
    <x v="397"/>
    <n v="738123474"/>
    <x v="0"/>
    <x v="102"/>
    <x v="23"/>
    <n v="972.79"/>
    <x v="0"/>
    <x v="2"/>
    <x v="1"/>
  </r>
  <r>
    <x v="189"/>
    <s v="Reina"/>
    <x v="189"/>
    <n v="705449727"/>
    <x v="0"/>
    <x v="511"/>
    <x v="7"/>
    <n v="158.35"/>
    <x v="0"/>
    <x v="2"/>
    <x v="0"/>
  </r>
  <r>
    <x v="309"/>
    <s v="Sosimo"/>
    <x v="309"/>
    <n v="722204395"/>
    <x v="0"/>
    <x v="51"/>
    <x v="14"/>
    <n v="336.53"/>
    <x v="0"/>
    <x v="2"/>
    <x v="1"/>
  </r>
  <r>
    <x v="295"/>
    <s v="Fabiola"/>
    <x v="295"/>
    <n v="716805697"/>
    <x v="0"/>
    <x v="61"/>
    <x v="5"/>
    <n v="1275.32"/>
    <x v="0"/>
    <x v="2"/>
    <x v="1"/>
  </r>
  <r>
    <x v="261"/>
    <s v="Jenny"/>
    <x v="261"/>
    <n v="678540300"/>
    <x v="0"/>
    <x v="338"/>
    <x v="6"/>
    <n v="59.66"/>
    <x v="0"/>
    <x v="1"/>
    <x v="0"/>
  </r>
  <r>
    <x v="66"/>
    <s v="Marcelino"/>
    <x v="66"/>
    <n v="719919620"/>
    <x v="0"/>
    <x v="399"/>
    <x v="15"/>
    <n v="1640.99"/>
    <x v="0"/>
    <x v="4"/>
    <x v="0"/>
  </r>
  <r>
    <x v="184"/>
    <s v="Matilde"/>
    <x v="184"/>
    <n v="716908291"/>
    <x v="0"/>
    <x v="106"/>
    <x v="9"/>
    <n v="1209.3499999999999"/>
    <x v="0"/>
    <x v="1"/>
    <x v="1"/>
  </r>
  <r>
    <x v="397"/>
    <s v="Maximino"/>
    <x v="397"/>
    <n v="738123474"/>
    <x v="0"/>
    <x v="512"/>
    <x v="23"/>
    <n v="368.49"/>
    <x v="0"/>
    <x v="2"/>
    <x v="0"/>
  </r>
  <r>
    <x v="108"/>
    <s v="Jesús"/>
    <x v="108"/>
    <n v="979540496"/>
    <x v="0"/>
    <x v="513"/>
    <x v="4"/>
    <n v="1885.3"/>
    <x v="2"/>
    <x v="1"/>
    <x v="1"/>
  </r>
  <r>
    <x v="440"/>
    <s v="Benigna"/>
    <x v="440"/>
    <n v="713916093"/>
    <x v="0"/>
    <x v="434"/>
    <x v="4"/>
    <n v="1230.49"/>
    <x v="0"/>
    <x v="3"/>
    <x v="0"/>
  </r>
  <r>
    <x v="257"/>
    <s v="Ruperto"/>
    <x v="257"/>
    <n v="854810022"/>
    <x v="1"/>
    <x v="91"/>
    <x v="12"/>
    <n v="829.74"/>
    <x v="0"/>
    <x v="3"/>
    <x v="1"/>
  </r>
  <r>
    <x v="441"/>
    <s v="Alicia"/>
    <x v="441"/>
    <n v="874961007"/>
    <x v="0"/>
    <x v="206"/>
    <x v="10"/>
    <n v="1880.9"/>
    <x v="0"/>
    <x v="3"/>
    <x v="0"/>
  </r>
  <r>
    <x v="263"/>
    <s v="Rodrigo"/>
    <x v="263"/>
    <n v="689640017"/>
    <x v="0"/>
    <x v="69"/>
    <x v="15"/>
    <n v="1666.88"/>
    <x v="0"/>
    <x v="1"/>
    <x v="1"/>
  </r>
  <r>
    <x v="291"/>
    <s v="Jose Manuel"/>
    <x v="291"/>
    <n v="699894729"/>
    <x v="0"/>
    <x v="256"/>
    <x v="21"/>
    <n v="1300.03"/>
    <x v="0"/>
    <x v="2"/>
    <x v="1"/>
  </r>
  <r>
    <x v="77"/>
    <s v="Benito"/>
    <x v="77"/>
    <n v="937606933"/>
    <x v="0"/>
    <x v="514"/>
    <x v="8"/>
    <n v="1301.0899999999999"/>
    <x v="2"/>
    <x v="2"/>
    <x v="1"/>
  </r>
  <r>
    <x v="313"/>
    <s v="Alonso"/>
    <x v="313"/>
    <n v="677172506"/>
    <x v="0"/>
    <x v="515"/>
    <x v="3"/>
    <n v="1649.71"/>
    <x v="0"/>
    <x v="2"/>
    <x v="0"/>
  </r>
  <r>
    <x v="442"/>
    <s v="Cebrián"/>
    <x v="442"/>
    <n v="721713548"/>
    <x v="0"/>
    <x v="104"/>
    <x v="1"/>
    <n v="591.25"/>
    <x v="0"/>
    <x v="0"/>
    <x v="1"/>
  </r>
  <r>
    <x v="100"/>
    <s v="Jose Miguel"/>
    <x v="100"/>
    <n v="717372411"/>
    <x v="0"/>
    <x v="236"/>
    <x v="3"/>
    <n v="1826.56"/>
    <x v="2"/>
    <x v="2"/>
    <x v="0"/>
  </r>
  <r>
    <x v="368"/>
    <s v="Olegario"/>
    <x v="368"/>
    <n v="831528721"/>
    <x v="0"/>
    <x v="516"/>
    <x v="9"/>
    <n v="199.37"/>
    <x v="1"/>
    <x v="3"/>
    <x v="1"/>
  </r>
  <r>
    <x v="404"/>
    <s v="Ciríaco"/>
    <x v="404"/>
    <n v="915781255"/>
    <x v="2"/>
    <x v="517"/>
    <x v="4"/>
    <n v="276.36"/>
    <x v="0"/>
    <x v="3"/>
    <x v="1"/>
  </r>
  <r>
    <x v="218"/>
    <s v="Leonardo"/>
    <x v="218"/>
    <n v="704650325"/>
    <x v="2"/>
    <x v="153"/>
    <x v="11"/>
    <n v="189.41"/>
    <x v="0"/>
    <x v="3"/>
    <x v="1"/>
  </r>
  <r>
    <x v="405"/>
    <s v="Gil"/>
    <x v="405"/>
    <n v="737928942"/>
    <x v="0"/>
    <x v="27"/>
    <x v="2"/>
    <n v="1479.46"/>
    <x v="1"/>
    <x v="2"/>
    <x v="0"/>
  </r>
  <r>
    <x v="282"/>
    <s v="Rita"/>
    <x v="282"/>
    <n v="988674084"/>
    <x v="0"/>
    <x v="518"/>
    <x v="3"/>
    <n v="717.74"/>
    <x v="0"/>
    <x v="3"/>
    <x v="1"/>
  </r>
  <r>
    <x v="337"/>
    <s v="Silvestre"/>
    <x v="337"/>
    <n v="919039985"/>
    <x v="1"/>
    <x v="170"/>
    <x v="18"/>
    <n v="833.47"/>
    <x v="0"/>
    <x v="0"/>
    <x v="0"/>
  </r>
  <r>
    <x v="319"/>
    <s v="Consuelo"/>
    <x v="319"/>
    <n v="815126663"/>
    <x v="1"/>
    <x v="519"/>
    <x v="5"/>
    <n v="1221.51"/>
    <x v="0"/>
    <x v="1"/>
    <x v="1"/>
  </r>
  <r>
    <x v="94"/>
    <s v="Martín"/>
    <x v="94"/>
    <n v="730582836"/>
    <x v="1"/>
    <x v="439"/>
    <x v="9"/>
    <n v="1566.27"/>
    <x v="0"/>
    <x v="3"/>
    <x v="1"/>
  </r>
  <r>
    <x v="140"/>
    <s v="Socorro"/>
    <x v="140"/>
    <n v="708352673"/>
    <x v="0"/>
    <x v="24"/>
    <x v="3"/>
    <n v="91.46"/>
    <x v="0"/>
    <x v="2"/>
    <x v="1"/>
  </r>
  <r>
    <x v="112"/>
    <s v="Chus"/>
    <x v="112"/>
    <n v="735500587"/>
    <x v="1"/>
    <x v="520"/>
    <x v="13"/>
    <n v="737.1"/>
    <x v="0"/>
    <x v="5"/>
    <x v="1"/>
  </r>
  <r>
    <x v="443"/>
    <s v="Bernardita"/>
    <x v="443"/>
    <n v="896166885"/>
    <x v="1"/>
    <x v="3"/>
    <x v="14"/>
    <n v="959.59"/>
    <x v="0"/>
    <x v="3"/>
    <x v="1"/>
  </r>
  <r>
    <x v="116"/>
    <s v="Ramona"/>
    <x v="116"/>
    <n v="622023254"/>
    <x v="0"/>
    <x v="424"/>
    <x v="13"/>
    <n v="232.54"/>
    <x v="0"/>
    <x v="3"/>
    <x v="1"/>
  </r>
  <r>
    <x v="439"/>
    <s v="Ágata"/>
    <x v="439"/>
    <n v="712187897"/>
    <x v="0"/>
    <x v="214"/>
    <x v="3"/>
    <n v="542.25"/>
    <x v="0"/>
    <x v="2"/>
    <x v="0"/>
  </r>
  <r>
    <x v="404"/>
    <s v="Ciríaco"/>
    <x v="404"/>
    <n v="915781255"/>
    <x v="2"/>
    <x v="299"/>
    <x v="4"/>
    <n v="1565.08"/>
    <x v="0"/>
    <x v="2"/>
    <x v="1"/>
  </r>
  <r>
    <x v="268"/>
    <s v="Nicolás"/>
    <x v="268"/>
    <n v="703991673"/>
    <x v="1"/>
    <x v="423"/>
    <x v="16"/>
    <n v="1858.18"/>
    <x v="0"/>
    <x v="0"/>
    <x v="1"/>
  </r>
  <r>
    <x v="422"/>
    <s v="Fabiola"/>
    <x v="422"/>
    <n v="736322863"/>
    <x v="1"/>
    <x v="518"/>
    <x v="10"/>
    <n v="519.20000000000005"/>
    <x v="0"/>
    <x v="4"/>
    <x v="1"/>
  </r>
  <r>
    <x v="11"/>
    <s v="Plácido"/>
    <x v="11"/>
    <n v="806023701"/>
    <x v="0"/>
    <x v="273"/>
    <x v="6"/>
    <n v="538.4"/>
    <x v="1"/>
    <x v="1"/>
    <x v="1"/>
  </r>
  <r>
    <x v="245"/>
    <s v="Cornelio"/>
    <x v="245"/>
    <n v="744201404"/>
    <x v="0"/>
    <x v="521"/>
    <x v="20"/>
    <n v="1940.67"/>
    <x v="0"/>
    <x v="2"/>
    <x v="1"/>
  </r>
  <r>
    <x v="240"/>
    <s v="Guiomar"/>
    <x v="240"/>
    <n v="718475072"/>
    <x v="1"/>
    <x v="522"/>
    <x v="9"/>
    <n v="1779.53"/>
    <x v="0"/>
    <x v="3"/>
    <x v="1"/>
  </r>
  <r>
    <x v="391"/>
    <s v="Cipriano"/>
    <x v="391"/>
    <n v="877322134"/>
    <x v="1"/>
    <x v="523"/>
    <x v="5"/>
    <n v="1040.51"/>
    <x v="0"/>
    <x v="3"/>
    <x v="1"/>
  </r>
  <r>
    <x v="9"/>
    <s v="Laura"/>
    <x v="9"/>
    <n v="735998025"/>
    <x v="0"/>
    <x v="132"/>
    <x v="6"/>
    <n v="88.33"/>
    <x v="1"/>
    <x v="2"/>
    <x v="1"/>
  </r>
  <r>
    <x v="349"/>
    <s v="Graciana"/>
    <x v="349"/>
    <n v="732255248"/>
    <x v="0"/>
    <x v="408"/>
    <x v="6"/>
    <n v="139.9"/>
    <x v="0"/>
    <x v="3"/>
    <x v="0"/>
  </r>
  <r>
    <x v="444"/>
    <s v="Isabela"/>
    <x v="444"/>
    <n v="651807606"/>
    <x v="1"/>
    <x v="485"/>
    <x v="10"/>
    <n v="1430.05"/>
    <x v="0"/>
    <x v="3"/>
    <x v="1"/>
  </r>
  <r>
    <x v="141"/>
    <s v="Brunilda"/>
    <x v="141"/>
    <n v="652976786"/>
    <x v="1"/>
    <x v="156"/>
    <x v="8"/>
    <n v="1402.76"/>
    <x v="0"/>
    <x v="2"/>
    <x v="1"/>
  </r>
  <r>
    <x v="387"/>
    <s v="Carla"/>
    <x v="387"/>
    <n v="645909202"/>
    <x v="0"/>
    <x v="196"/>
    <x v="13"/>
    <n v="402.16"/>
    <x v="0"/>
    <x v="1"/>
    <x v="1"/>
  </r>
  <r>
    <x v="147"/>
    <s v="Evaristo"/>
    <x v="147"/>
    <n v="720179790"/>
    <x v="0"/>
    <x v="524"/>
    <x v="8"/>
    <n v="1637.37"/>
    <x v="0"/>
    <x v="3"/>
    <x v="1"/>
  </r>
  <r>
    <x v="445"/>
    <s v="Josué"/>
    <x v="445"/>
    <n v="718083036"/>
    <x v="1"/>
    <x v="275"/>
    <x v="6"/>
    <n v="177.03"/>
    <x v="0"/>
    <x v="0"/>
    <x v="1"/>
  </r>
  <r>
    <x v="19"/>
    <s v="Che"/>
    <x v="19"/>
    <n v="719563621"/>
    <x v="1"/>
    <x v="258"/>
    <x v="11"/>
    <n v="1600.14"/>
    <x v="0"/>
    <x v="3"/>
    <x v="0"/>
  </r>
  <r>
    <x v="446"/>
    <s v="Alejandra"/>
    <x v="446"/>
    <n v="713798073"/>
    <x v="1"/>
    <x v="525"/>
    <x v="5"/>
    <n v="612.04999999999995"/>
    <x v="0"/>
    <x v="0"/>
    <x v="1"/>
  </r>
  <r>
    <x v="141"/>
    <s v="Brunilda"/>
    <x v="141"/>
    <n v="652976786"/>
    <x v="1"/>
    <x v="309"/>
    <x v="8"/>
    <n v="296.66000000000003"/>
    <x v="0"/>
    <x v="4"/>
    <x v="0"/>
  </r>
  <r>
    <x v="248"/>
    <s v="Fabián"/>
    <x v="248"/>
    <n v="728722101"/>
    <x v="0"/>
    <x v="333"/>
    <x v="3"/>
    <n v="545.20000000000005"/>
    <x v="0"/>
    <x v="2"/>
    <x v="1"/>
  </r>
  <r>
    <x v="124"/>
    <s v="Adora"/>
    <x v="124"/>
    <n v="746643710"/>
    <x v="2"/>
    <x v="17"/>
    <x v="15"/>
    <n v="555.58000000000004"/>
    <x v="0"/>
    <x v="2"/>
    <x v="1"/>
  </r>
  <r>
    <x v="340"/>
    <s v="Fidel"/>
    <x v="340"/>
    <n v="938659334"/>
    <x v="0"/>
    <x v="345"/>
    <x v="10"/>
    <n v="988.54"/>
    <x v="1"/>
    <x v="1"/>
    <x v="1"/>
  </r>
  <r>
    <x v="447"/>
    <s v="José Manuel"/>
    <x v="447"/>
    <n v="725477361"/>
    <x v="1"/>
    <x v="435"/>
    <x v="3"/>
    <n v="954.64"/>
    <x v="2"/>
    <x v="3"/>
    <x v="0"/>
  </r>
  <r>
    <x v="260"/>
    <s v="Tomasa"/>
    <x v="260"/>
    <n v="738722817"/>
    <x v="0"/>
    <x v="467"/>
    <x v="23"/>
    <n v="501.95"/>
    <x v="0"/>
    <x v="2"/>
    <x v="0"/>
  </r>
  <r>
    <x v="440"/>
    <s v="Benigna"/>
    <x v="440"/>
    <n v="713916093"/>
    <x v="0"/>
    <x v="526"/>
    <x v="4"/>
    <n v="436.91"/>
    <x v="0"/>
    <x v="2"/>
    <x v="1"/>
  </r>
  <r>
    <x v="109"/>
    <s v="Román"/>
    <x v="109"/>
    <n v="681942999"/>
    <x v="0"/>
    <x v="222"/>
    <x v="6"/>
    <n v="42.89"/>
    <x v="0"/>
    <x v="4"/>
    <x v="0"/>
  </r>
  <r>
    <x v="351"/>
    <s v="Piedad"/>
    <x v="351"/>
    <n v="741286548"/>
    <x v="1"/>
    <x v="331"/>
    <x v="8"/>
    <n v="323.48"/>
    <x v="0"/>
    <x v="0"/>
    <x v="0"/>
  </r>
  <r>
    <x v="30"/>
    <s v="Florentino"/>
    <x v="30"/>
    <n v="951987392"/>
    <x v="0"/>
    <x v="527"/>
    <x v="7"/>
    <n v="664.3"/>
    <x v="0"/>
    <x v="1"/>
    <x v="1"/>
  </r>
  <r>
    <x v="111"/>
    <s v="Maximino"/>
    <x v="111"/>
    <n v="719370887"/>
    <x v="1"/>
    <x v="528"/>
    <x v="14"/>
    <n v="67.67"/>
    <x v="0"/>
    <x v="3"/>
    <x v="1"/>
  </r>
  <r>
    <x v="356"/>
    <s v="Sabina"/>
    <x v="356"/>
    <n v="938130308"/>
    <x v="1"/>
    <x v="525"/>
    <x v="4"/>
    <n v="1339.55"/>
    <x v="0"/>
    <x v="4"/>
    <x v="0"/>
  </r>
  <r>
    <x v="230"/>
    <s v="Adelaida"/>
    <x v="230"/>
    <n v="680373214"/>
    <x v="0"/>
    <x v="488"/>
    <x v="5"/>
    <n v="1561.85"/>
    <x v="2"/>
    <x v="1"/>
    <x v="1"/>
  </r>
  <r>
    <x v="112"/>
    <s v="Chus"/>
    <x v="112"/>
    <n v="735500587"/>
    <x v="1"/>
    <x v="529"/>
    <x v="13"/>
    <n v="1710.83"/>
    <x v="0"/>
    <x v="3"/>
    <x v="0"/>
  </r>
  <r>
    <x v="37"/>
    <s v="Ximena"/>
    <x v="37"/>
    <n v="702426757"/>
    <x v="2"/>
    <x v="491"/>
    <x v="10"/>
    <n v="1943.97"/>
    <x v="0"/>
    <x v="1"/>
    <x v="1"/>
  </r>
  <r>
    <x v="320"/>
    <s v="Máximo"/>
    <x v="320"/>
    <n v="676942883"/>
    <x v="0"/>
    <x v="192"/>
    <x v="7"/>
    <n v="1183.94"/>
    <x v="0"/>
    <x v="1"/>
    <x v="0"/>
  </r>
  <r>
    <x v="416"/>
    <s v="Georgina"/>
    <x v="416"/>
    <n v="745334445"/>
    <x v="1"/>
    <x v="217"/>
    <x v="10"/>
    <n v="630.80999999999995"/>
    <x v="0"/>
    <x v="3"/>
    <x v="1"/>
  </r>
  <r>
    <x v="309"/>
    <s v="Sosimo"/>
    <x v="309"/>
    <n v="722204395"/>
    <x v="0"/>
    <x v="143"/>
    <x v="14"/>
    <n v="1672.77"/>
    <x v="0"/>
    <x v="2"/>
    <x v="0"/>
  </r>
  <r>
    <x v="46"/>
    <s v="Lucio"/>
    <x v="46"/>
    <n v="725414927"/>
    <x v="0"/>
    <x v="530"/>
    <x v="18"/>
    <n v="1214.9000000000001"/>
    <x v="0"/>
    <x v="0"/>
    <x v="0"/>
  </r>
  <r>
    <x v="245"/>
    <s v="Cornelio"/>
    <x v="245"/>
    <n v="744201404"/>
    <x v="0"/>
    <x v="531"/>
    <x v="20"/>
    <n v="1901.23"/>
    <x v="0"/>
    <x v="2"/>
    <x v="0"/>
  </r>
  <r>
    <x v="246"/>
    <s v="Reyna"/>
    <x v="246"/>
    <n v="717190176"/>
    <x v="0"/>
    <x v="532"/>
    <x v="0"/>
    <n v="684.87"/>
    <x v="0"/>
    <x v="4"/>
    <x v="0"/>
  </r>
  <r>
    <x v="286"/>
    <s v="Teresa"/>
    <x v="286"/>
    <n v="635448926"/>
    <x v="1"/>
    <x v="219"/>
    <x v="16"/>
    <n v="1505.68"/>
    <x v="0"/>
    <x v="3"/>
    <x v="0"/>
  </r>
  <r>
    <x v="448"/>
    <s v="Candelas"/>
    <x v="448"/>
    <n v="717432836"/>
    <x v="0"/>
    <x v="342"/>
    <x v="4"/>
    <n v="919.76"/>
    <x v="0"/>
    <x v="3"/>
    <x v="0"/>
  </r>
  <r>
    <x v="416"/>
    <s v="Georgina"/>
    <x v="416"/>
    <n v="745334445"/>
    <x v="1"/>
    <x v="400"/>
    <x v="10"/>
    <n v="707.2"/>
    <x v="0"/>
    <x v="3"/>
    <x v="1"/>
  </r>
  <r>
    <x v="449"/>
    <s v="Reyna"/>
    <x v="449"/>
    <n v="723313718"/>
    <x v="0"/>
    <x v="509"/>
    <x v="22"/>
    <n v="645.92999999999995"/>
    <x v="0"/>
    <x v="1"/>
    <x v="0"/>
  </r>
  <r>
    <x v="383"/>
    <s v="Cecilia"/>
    <x v="383"/>
    <n v="746241600"/>
    <x v="0"/>
    <x v="312"/>
    <x v="5"/>
    <n v="483.66"/>
    <x v="0"/>
    <x v="2"/>
    <x v="0"/>
  </r>
  <r>
    <x v="241"/>
    <s v="Jaime"/>
    <x v="241"/>
    <n v="708355930"/>
    <x v="0"/>
    <x v="533"/>
    <x v="19"/>
    <n v="792.58"/>
    <x v="0"/>
    <x v="3"/>
    <x v="0"/>
  </r>
  <r>
    <x v="277"/>
    <s v="Paz"/>
    <x v="277"/>
    <n v="905498813"/>
    <x v="0"/>
    <x v="365"/>
    <x v="20"/>
    <n v="790.36"/>
    <x v="1"/>
    <x v="3"/>
    <x v="0"/>
  </r>
  <r>
    <x v="16"/>
    <s v="Belén"/>
    <x v="16"/>
    <n v="739522597"/>
    <x v="0"/>
    <x v="73"/>
    <x v="9"/>
    <n v="927.16"/>
    <x v="0"/>
    <x v="2"/>
    <x v="0"/>
  </r>
  <r>
    <x v="371"/>
    <s v="Seve"/>
    <x v="371"/>
    <n v="722844692"/>
    <x v="1"/>
    <x v="82"/>
    <x v="15"/>
    <n v="558.23"/>
    <x v="0"/>
    <x v="3"/>
    <x v="1"/>
  </r>
  <r>
    <x v="115"/>
    <s v="Leandro"/>
    <x v="115"/>
    <n v="717637012"/>
    <x v="1"/>
    <x v="476"/>
    <x v="20"/>
    <n v="86.54"/>
    <x v="0"/>
    <x v="0"/>
    <x v="1"/>
  </r>
  <r>
    <x v="413"/>
    <s v="Tadeo"/>
    <x v="413"/>
    <n v="865720278"/>
    <x v="0"/>
    <x v="55"/>
    <x v="7"/>
    <n v="983.28"/>
    <x v="0"/>
    <x v="3"/>
    <x v="0"/>
  </r>
  <r>
    <x v="363"/>
    <s v="Santiago"/>
    <x v="363"/>
    <n v="748025884"/>
    <x v="1"/>
    <x v="385"/>
    <x v="1"/>
    <n v="714.21"/>
    <x v="2"/>
    <x v="0"/>
    <x v="1"/>
  </r>
  <r>
    <x v="450"/>
    <s v="Paulina"/>
    <x v="450"/>
    <n v="704369028"/>
    <x v="0"/>
    <x v="154"/>
    <x v="11"/>
    <n v="927.09"/>
    <x v="0"/>
    <x v="1"/>
    <x v="0"/>
  </r>
  <r>
    <x v="297"/>
    <s v="Clemente"/>
    <x v="297"/>
    <n v="903785899"/>
    <x v="1"/>
    <x v="343"/>
    <x v="12"/>
    <n v="854.21"/>
    <x v="0"/>
    <x v="0"/>
    <x v="0"/>
  </r>
  <r>
    <x v="451"/>
    <s v="Hortensia"/>
    <x v="451"/>
    <n v="739348248"/>
    <x v="0"/>
    <x v="58"/>
    <x v="7"/>
    <n v="598.78"/>
    <x v="0"/>
    <x v="4"/>
    <x v="0"/>
  </r>
  <r>
    <x v="310"/>
    <s v="Amparo"/>
    <x v="310"/>
    <n v="820771678"/>
    <x v="0"/>
    <x v="453"/>
    <x v="3"/>
    <n v="491.1"/>
    <x v="0"/>
    <x v="4"/>
    <x v="1"/>
  </r>
  <r>
    <x v="51"/>
    <s v="Joel"/>
    <x v="51"/>
    <n v="737972549"/>
    <x v="1"/>
    <x v="470"/>
    <x v="11"/>
    <n v="1628.87"/>
    <x v="0"/>
    <x v="4"/>
    <x v="0"/>
  </r>
  <r>
    <x v="317"/>
    <s v="María Manuela"/>
    <x v="317"/>
    <n v="737214224"/>
    <x v="0"/>
    <x v="153"/>
    <x v="20"/>
    <n v="853.17"/>
    <x v="0"/>
    <x v="3"/>
    <x v="1"/>
  </r>
  <r>
    <x v="135"/>
    <s v="Graciana"/>
    <x v="135"/>
    <n v="713699779"/>
    <x v="0"/>
    <x v="268"/>
    <x v="10"/>
    <n v="1721.72"/>
    <x v="0"/>
    <x v="2"/>
    <x v="0"/>
  </r>
  <r>
    <x v="78"/>
    <s v="Lino"/>
    <x v="78"/>
    <n v="699605788"/>
    <x v="1"/>
    <x v="534"/>
    <x v="7"/>
    <n v="743.05"/>
    <x v="0"/>
    <x v="3"/>
    <x v="0"/>
  </r>
  <r>
    <x v="244"/>
    <s v="Bautista"/>
    <x v="244"/>
    <n v="714298563"/>
    <x v="0"/>
    <x v="439"/>
    <x v="16"/>
    <n v="544.95000000000005"/>
    <x v="0"/>
    <x v="5"/>
    <x v="0"/>
  </r>
  <r>
    <x v="127"/>
    <s v="Rocío"/>
    <x v="127"/>
    <n v="712704910"/>
    <x v="0"/>
    <x v="535"/>
    <x v="12"/>
    <n v="394.78"/>
    <x v="0"/>
    <x v="2"/>
    <x v="0"/>
  </r>
  <r>
    <x v="324"/>
    <s v="Ascensión"/>
    <x v="324"/>
    <n v="733329234"/>
    <x v="1"/>
    <x v="527"/>
    <x v="15"/>
    <n v="1441.03"/>
    <x v="0"/>
    <x v="0"/>
    <x v="1"/>
  </r>
  <r>
    <x v="139"/>
    <s v="Úrsula"/>
    <x v="139"/>
    <n v="714356417"/>
    <x v="0"/>
    <x v="59"/>
    <x v="17"/>
    <n v="1166.3900000000001"/>
    <x v="0"/>
    <x v="2"/>
    <x v="1"/>
  </r>
  <r>
    <x v="182"/>
    <s v="Wálter"/>
    <x v="182"/>
    <n v="737403719"/>
    <x v="1"/>
    <x v="496"/>
    <x v="17"/>
    <n v="1776.7"/>
    <x v="0"/>
    <x v="0"/>
    <x v="0"/>
  </r>
  <r>
    <x v="448"/>
    <s v="Candelas"/>
    <x v="448"/>
    <n v="717432836"/>
    <x v="0"/>
    <x v="78"/>
    <x v="4"/>
    <n v="1775.06"/>
    <x v="0"/>
    <x v="1"/>
    <x v="0"/>
  </r>
  <r>
    <x v="256"/>
    <s v="Rafaela"/>
    <x v="256"/>
    <n v="725944347"/>
    <x v="1"/>
    <x v="124"/>
    <x v="4"/>
    <n v="1827.75"/>
    <x v="0"/>
    <x v="3"/>
    <x v="0"/>
  </r>
  <r>
    <x v="436"/>
    <s v="Coral"/>
    <x v="436"/>
    <n v="967429433"/>
    <x v="1"/>
    <x v="379"/>
    <x v="17"/>
    <n v="70.959999999999994"/>
    <x v="0"/>
    <x v="1"/>
    <x v="1"/>
  </r>
  <r>
    <x v="233"/>
    <s v="Narciso"/>
    <x v="233"/>
    <n v="707714744"/>
    <x v="2"/>
    <x v="97"/>
    <x v="9"/>
    <n v="1341.57"/>
    <x v="0"/>
    <x v="2"/>
    <x v="0"/>
  </r>
  <r>
    <x v="140"/>
    <s v="Socorro"/>
    <x v="140"/>
    <n v="708352673"/>
    <x v="0"/>
    <x v="116"/>
    <x v="3"/>
    <n v="998.27"/>
    <x v="0"/>
    <x v="2"/>
    <x v="0"/>
  </r>
  <r>
    <x v="380"/>
    <s v="Caridad"/>
    <x v="380"/>
    <n v="728952399"/>
    <x v="0"/>
    <x v="218"/>
    <x v="6"/>
    <n v="1925.33"/>
    <x v="0"/>
    <x v="2"/>
    <x v="0"/>
  </r>
  <r>
    <x v="55"/>
    <s v="Lino"/>
    <x v="55"/>
    <n v="743293622"/>
    <x v="0"/>
    <x v="418"/>
    <x v="19"/>
    <n v="1382.05"/>
    <x v="2"/>
    <x v="1"/>
    <x v="0"/>
  </r>
  <r>
    <x v="331"/>
    <s v="Balduino"/>
    <x v="331"/>
    <n v="723768512"/>
    <x v="0"/>
    <x v="367"/>
    <x v="13"/>
    <n v="676.16"/>
    <x v="0"/>
    <x v="1"/>
    <x v="0"/>
  </r>
  <r>
    <x v="111"/>
    <s v="Maximino"/>
    <x v="111"/>
    <n v="719370887"/>
    <x v="1"/>
    <x v="536"/>
    <x v="14"/>
    <n v="938.63"/>
    <x v="0"/>
    <x v="3"/>
    <x v="0"/>
  </r>
  <r>
    <x v="452"/>
    <s v="Ciríaco"/>
    <x v="452"/>
    <n v="718783075"/>
    <x v="1"/>
    <x v="372"/>
    <x v="20"/>
    <n v="646.03"/>
    <x v="0"/>
    <x v="3"/>
    <x v="0"/>
  </r>
  <r>
    <x v="443"/>
    <s v="Bernardita"/>
    <x v="443"/>
    <n v="896166885"/>
    <x v="1"/>
    <x v="112"/>
    <x v="14"/>
    <n v="1635.15"/>
    <x v="2"/>
    <x v="2"/>
    <x v="0"/>
  </r>
  <r>
    <x v="244"/>
    <s v="Bautista"/>
    <x v="244"/>
    <n v="714298563"/>
    <x v="0"/>
    <x v="537"/>
    <x v="16"/>
    <n v="1357.71"/>
    <x v="1"/>
    <x v="2"/>
    <x v="0"/>
  </r>
  <r>
    <x v="453"/>
    <s v="Josefina"/>
    <x v="453"/>
    <n v="935530065"/>
    <x v="0"/>
    <x v="224"/>
    <x v="1"/>
    <n v="1048.27"/>
    <x v="2"/>
    <x v="2"/>
    <x v="1"/>
  </r>
  <r>
    <x v="341"/>
    <s v="Dionisia"/>
    <x v="341"/>
    <n v="826025409"/>
    <x v="2"/>
    <x v="7"/>
    <x v="9"/>
    <n v="968.89"/>
    <x v="0"/>
    <x v="0"/>
    <x v="0"/>
  </r>
  <r>
    <x v="454"/>
    <s v="Verónica"/>
    <x v="454"/>
    <n v="731576543"/>
    <x v="0"/>
    <x v="353"/>
    <x v="13"/>
    <n v="399.13"/>
    <x v="0"/>
    <x v="1"/>
    <x v="0"/>
  </r>
  <r>
    <x v="455"/>
    <s v="Judith"/>
    <x v="455"/>
    <n v="744625067"/>
    <x v="0"/>
    <x v="538"/>
    <x v="4"/>
    <n v="528.19000000000005"/>
    <x v="0"/>
    <x v="1"/>
    <x v="0"/>
  </r>
  <r>
    <x v="396"/>
    <s v="Cecilio"/>
    <x v="396"/>
    <n v="966229025"/>
    <x v="0"/>
    <x v="296"/>
    <x v="18"/>
    <n v="352.47"/>
    <x v="0"/>
    <x v="3"/>
    <x v="0"/>
  </r>
  <r>
    <x v="48"/>
    <s v="Flavia"/>
    <x v="48"/>
    <n v="705389520"/>
    <x v="2"/>
    <x v="331"/>
    <x v="6"/>
    <n v="1587.84"/>
    <x v="0"/>
    <x v="3"/>
    <x v="1"/>
  </r>
  <r>
    <x v="456"/>
    <s v="Ambrosio"/>
    <x v="456"/>
    <n v="667187938"/>
    <x v="1"/>
    <x v="539"/>
    <x v="4"/>
    <n v="1297.3699999999999"/>
    <x v="0"/>
    <x v="3"/>
    <x v="0"/>
  </r>
  <r>
    <x v="67"/>
    <s v="Bernarda"/>
    <x v="67"/>
    <n v="747410141"/>
    <x v="0"/>
    <x v="540"/>
    <x v="2"/>
    <n v="442.15"/>
    <x v="0"/>
    <x v="2"/>
    <x v="0"/>
  </r>
  <r>
    <x v="371"/>
    <s v="Seve"/>
    <x v="371"/>
    <n v="722844692"/>
    <x v="1"/>
    <x v="505"/>
    <x v="15"/>
    <n v="477.25"/>
    <x v="0"/>
    <x v="0"/>
    <x v="1"/>
  </r>
  <r>
    <x v="457"/>
    <s v="Jeremías"/>
    <x v="457"/>
    <n v="719274770"/>
    <x v="0"/>
    <x v="541"/>
    <x v="13"/>
    <n v="679"/>
    <x v="1"/>
    <x v="2"/>
    <x v="1"/>
  </r>
  <r>
    <x v="140"/>
    <s v="Socorro"/>
    <x v="140"/>
    <n v="708352673"/>
    <x v="0"/>
    <x v="542"/>
    <x v="3"/>
    <n v="1540.61"/>
    <x v="0"/>
    <x v="0"/>
    <x v="0"/>
  </r>
  <r>
    <x v="283"/>
    <s v="María Fernanda"/>
    <x v="283"/>
    <n v="735892521"/>
    <x v="1"/>
    <x v="390"/>
    <x v="0"/>
    <n v="1759.1"/>
    <x v="0"/>
    <x v="3"/>
    <x v="1"/>
  </r>
  <r>
    <x v="434"/>
    <s v="Gertrudis"/>
    <x v="434"/>
    <n v="841242864"/>
    <x v="1"/>
    <x v="188"/>
    <x v="21"/>
    <n v="680.25"/>
    <x v="1"/>
    <x v="3"/>
    <x v="1"/>
  </r>
  <r>
    <x v="197"/>
    <s v="Alfredo"/>
    <x v="197"/>
    <n v="710390333"/>
    <x v="1"/>
    <x v="124"/>
    <x v="6"/>
    <n v="425.24"/>
    <x v="2"/>
    <x v="4"/>
    <x v="0"/>
  </r>
  <r>
    <x v="125"/>
    <s v="Toño"/>
    <x v="125"/>
    <n v="722621294"/>
    <x v="0"/>
    <x v="444"/>
    <x v="2"/>
    <n v="633.57000000000005"/>
    <x v="0"/>
    <x v="1"/>
    <x v="0"/>
  </r>
  <r>
    <x v="202"/>
    <s v="Valeria"/>
    <x v="202"/>
    <n v="738447830"/>
    <x v="1"/>
    <x v="53"/>
    <x v="17"/>
    <n v="653.19000000000005"/>
    <x v="0"/>
    <x v="3"/>
    <x v="1"/>
  </r>
  <r>
    <x v="25"/>
    <s v="Marcelo"/>
    <x v="25"/>
    <n v="742924464"/>
    <x v="1"/>
    <x v="229"/>
    <x v="8"/>
    <n v="218.4"/>
    <x v="0"/>
    <x v="0"/>
    <x v="0"/>
  </r>
  <r>
    <x v="458"/>
    <s v="Esteban"/>
    <x v="458"/>
    <n v="887675171"/>
    <x v="0"/>
    <x v="50"/>
    <x v="13"/>
    <n v="1165.83"/>
    <x v="0"/>
    <x v="0"/>
    <x v="0"/>
  </r>
  <r>
    <x v="328"/>
    <s v="Eugenio"/>
    <x v="328"/>
    <n v="731165363"/>
    <x v="1"/>
    <x v="152"/>
    <x v="5"/>
    <n v="177.53"/>
    <x v="0"/>
    <x v="3"/>
    <x v="1"/>
  </r>
  <r>
    <x v="63"/>
    <s v="Susana"/>
    <x v="63"/>
    <n v="907654118"/>
    <x v="0"/>
    <x v="319"/>
    <x v="4"/>
    <n v="1197.21"/>
    <x v="0"/>
    <x v="1"/>
    <x v="1"/>
  </r>
  <r>
    <x v="225"/>
    <s v="Maximiliano"/>
    <x v="225"/>
    <n v="644562274"/>
    <x v="0"/>
    <x v="245"/>
    <x v="1"/>
    <n v="543.05999999999995"/>
    <x v="0"/>
    <x v="4"/>
    <x v="0"/>
  </r>
  <r>
    <x v="95"/>
    <s v="Carmelita"/>
    <x v="95"/>
    <n v="728693313"/>
    <x v="1"/>
    <x v="371"/>
    <x v="12"/>
    <n v="1283.77"/>
    <x v="0"/>
    <x v="0"/>
    <x v="0"/>
  </r>
  <r>
    <x v="367"/>
    <s v="Maristela"/>
    <x v="367"/>
    <n v="985194664"/>
    <x v="0"/>
    <x v="543"/>
    <x v="2"/>
    <n v="1027.1600000000001"/>
    <x v="2"/>
    <x v="2"/>
    <x v="1"/>
  </r>
  <r>
    <x v="121"/>
    <s v="Tecla"/>
    <x v="121"/>
    <n v="715497471"/>
    <x v="0"/>
    <x v="492"/>
    <x v="18"/>
    <n v="262.3"/>
    <x v="0"/>
    <x v="5"/>
    <x v="1"/>
  </r>
  <r>
    <x v="312"/>
    <s v="Lara"/>
    <x v="312"/>
    <n v="729651240"/>
    <x v="0"/>
    <x v="544"/>
    <x v="12"/>
    <n v="1631.78"/>
    <x v="0"/>
    <x v="3"/>
    <x v="0"/>
  </r>
  <r>
    <x v="230"/>
    <s v="Adelaida"/>
    <x v="230"/>
    <n v="680373214"/>
    <x v="0"/>
    <x v="87"/>
    <x v="5"/>
    <n v="1423.54"/>
    <x v="0"/>
    <x v="1"/>
    <x v="0"/>
  </r>
  <r>
    <x v="52"/>
    <s v="Poncio"/>
    <x v="52"/>
    <n v="699922916"/>
    <x v="0"/>
    <x v="545"/>
    <x v="20"/>
    <n v="890.27"/>
    <x v="0"/>
    <x v="0"/>
    <x v="1"/>
  </r>
  <r>
    <x v="12"/>
    <s v="Custodia"/>
    <x v="12"/>
    <n v="734311637"/>
    <x v="0"/>
    <x v="546"/>
    <x v="7"/>
    <n v="1384.42"/>
    <x v="0"/>
    <x v="3"/>
    <x v="1"/>
  </r>
  <r>
    <x v="90"/>
    <s v="Rolando"/>
    <x v="90"/>
    <n v="709840779"/>
    <x v="2"/>
    <x v="383"/>
    <x v="3"/>
    <n v="1637.86"/>
    <x v="0"/>
    <x v="3"/>
    <x v="0"/>
  </r>
  <r>
    <x v="72"/>
    <s v="Enrique"/>
    <x v="72"/>
    <n v="713291022"/>
    <x v="2"/>
    <x v="336"/>
    <x v="2"/>
    <n v="1347.74"/>
    <x v="0"/>
    <x v="3"/>
    <x v="1"/>
  </r>
  <r>
    <x v="381"/>
    <s v="Narciso"/>
    <x v="381"/>
    <n v="701336805"/>
    <x v="1"/>
    <x v="273"/>
    <x v="5"/>
    <n v="468.71"/>
    <x v="0"/>
    <x v="1"/>
    <x v="1"/>
  </r>
  <r>
    <x v="123"/>
    <s v="Eva María"/>
    <x v="123"/>
    <n v="713186177"/>
    <x v="1"/>
    <x v="153"/>
    <x v="2"/>
    <n v="317.05"/>
    <x v="0"/>
    <x v="3"/>
    <x v="1"/>
  </r>
  <r>
    <x v="95"/>
    <s v="Carmelita"/>
    <x v="95"/>
    <n v="728693313"/>
    <x v="1"/>
    <x v="547"/>
    <x v="12"/>
    <n v="128.21"/>
    <x v="0"/>
    <x v="0"/>
    <x v="0"/>
  </r>
  <r>
    <x v="403"/>
    <s v="Armida"/>
    <x v="403"/>
    <n v="942844383"/>
    <x v="0"/>
    <x v="158"/>
    <x v="13"/>
    <n v="1289.19"/>
    <x v="1"/>
    <x v="2"/>
    <x v="1"/>
  </r>
  <r>
    <x v="459"/>
    <s v="Victor Manuel"/>
    <x v="459"/>
    <n v="717669942"/>
    <x v="0"/>
    <x v="39"/>
    <x v="19"/>
    <n v="1443.43"/>
    <x v="0"/>
    <x v="3"/>
    <x v="0"/>
  </r>
  <r>
    <x v="77"/>
    <s v="Benito"/>
    <x v="77"/>
    <n v="937606933"/>
    <x v="0"/>
    <x v="548"/>
    <x v="8"/>
    <n v="501.58"/>
    <x v="0"/>
    <x v="1"/>
    <x v="1"/>
  </r>
  <r>
    <x v="300"/>
    <s v="Cintia"/>
    <x v="300"/>
    <n v="730098459"/>
    <x v="0"/>
    <x v="384"/>
    <x v="10"/>
    <n v="50.57"/>
    <x v="0"/>
    <x v="1"/>
    <x v="0"/>
  </r>
  <r>
    <x v="13"/>
    <s v="Roque"/>
    <x v="13"/>
    <n v="667768968"/>
    <x v="0"/>
    <x v="468"/>
    <x v="8"/>
    <n v="1382.74"/>
    <x v="1"/>
    <x v="0"/>
    <x v="0"/>
  </r>
  <r>
    <x v="320"/>
    <s v="Máximo"/>
    <x v="320"/>
    <n v="676942883"/>
    <x v="0"/>
    <x v="549"/>
    <x v="7"/>
    <n v="1156.07"/>
    <x v="0"/>
    <x v="2"/>
    <x v="1"/>
  </r>
  <r>
    <x v="460"/>
    <s v="Daniel"/>
    <x v="460"/>
    <n v="737552059"/>
    <x v="0"/>
    <x v="518"/>
    <x v="22"/>
    <n v="1364.3"/>
    <x v="0"/>
    <x v="3"/>
    <x v="1"/>
  </r>
  <r>
    <x v="2"/>
    <s v="Lupe"/>
    <x v="2"/>
    <n v="714510122"/>
    <x v="0"/>
    <x v="550"/>
    <x v="2"/>
    <n v="267.83999999999997"/>
    <x v="0"/>
    <x v="3"/>
    <x v="1"/>
  </r>
  <r>
    <x v="303"/>
    <s v="Álvaro"/>
    <x v="303"/>
    <n v="742903473"/>
    <x v="0"/>
    <x v="551"/>
    <x v="2"/>
    <n v="556.80999999999995"/>
    <x v="0"/>
    <x v="1"/>
    <x v="1"/>
  </r>
  <r>
    <x v="207"/>
    <s v="Carmela"/>
    <x v="207"/>
    <n v="731844990"/>
    <x v="1"/>
    <x v="231"/>
    <x v="3"/>
    <n v="117.81"/>
    <x v="2"/>
    <x v="1"/>
    <x v="1"/>
  </r>
  <r>
    <x v="5"/>
    <s v="Goyo"/>
    <x v="5"/>
    <n v="733868257"/>
    <x v="1"/>
    <x v="354"/>
    <x v="1"/>
    <n v="147.22999999999999"/>
    <x v="0"/>
    <x v="3"/>
    <x v="0"/>
  </r>
  <r>
    <x v="461"/>
    <s v="Edelmira"/>
    <x v="461"/>
    <n v="728753739"/>
    <x v="1"/>
    <x v="106"/>
    <x v="4"/>
    <n v="1793.9"/>
    <x v="2"/>
    <x v="3"/>
    <x v="0"/>
  </r>
  <r>
    <x v="238"/>
    <s v="Magdalena"/>
    <x v="238"/>
    <n v="650924818"/>
    <x v="1"/>
    <x v="327"/>
    <x v="17"/>
    <n v="84.57"/>
    <x v="0"/>
    <x v="0"/>
    <x v="1"/>
  </r>
  <r>
    <x v="96"/>
    <s v="Angelita"/>
    <x v="96"/>
    <n v="749724328"/>
    <x v="0"/>
    <x v="125"/>
    <x v="23"/>
    <n v="941.54"/>
    <x v="0"/>
    <x v="1"/>
    <x v="0"/>
  </r>
  <r>
    <x v="45"/>
    <s v="Maxi"/>
    <x v="45"/>
    <n v="726799934"/>
    <x v="1"/>
    <x v="505"/>
    <x v="7"/>
    <n v="1695.75"/>
    <x v="0"/>
    <x v="1"/>
    <x v="1"/>
  </r>
  <r>
    <x v="166"/>
    <s v="Paola"/>
    <x v="166"/>
    <n v="730016083"/>
    <x v="2"/>
    <x v="241"/>
    <x v="12"/>
    <n v="376.18"/>
    <x v="0"/>
    <x v="3"/>
    <x v="0"/>
  </r>
  <r>
    <x v="224"/>
    <s v="Mateo"/>
    <x v="224"/>
    <n v="651438049"/>
    <x v="0"/>
    <x v="214"/>
    <x v="11"/>
    <n v="316.14999999999998"/>
    <x v="1"/>
    <x v="2"/>
    <x v="0"/>
  </r>
  <r>
    <x v="284"/>
    <s v="Gonzalo"/>
    <x v="284"/>
    <n v="701325298"/>
    <x v="0"/>
    <x v="211"/>
    <x v="7"/>
    <n v="563.1"/>
    <x v="0"/>
    <x v="2"/>
    <x v="1"/>
  </r>
  <r>
    <x v="353"/>
    <s v="Zaira"/>
    <x v="353"/>
    <n v="703370540"/>
    <x v="0"/>
    <x v="552"/>
    <x v="11"/>
    <n v="1397.05"/>
    <x v="2"/>
    <x v="3"/>
    <x v="1"/>
  </r>
  <r>
    <x v="165"/>
    <s v="Pancho"/>
    <x v="165"/>
    <n v="745695976"/>
    <x v="0"/>
    <x v="176"/>
    <x v="0"/>
    <n v="1042.53"/>
    <x v="0"/>
    <x v="1"/>
    <x v="0"/>
  </r>
  <r>
    <x v="142"/>
    <s v="Néstor"/>
    <x v="142"/>
    <n v="723570924"/>
    <x v="0"/>
    <x v="81"/>
    <x v="16"/>
    <n v="796.63"/>
    <x v="0"/>
    <x v="2"/>
    <x v="1"/>
  </r>
  <r>
    <x v="160"/>
    <s v="Leoncio"/>
    <x v="160"/>
    <n v="726605821"/>
    <x v="1"/>
    <x v="389"/>
    <x v="19"/>
    <n v="1530.84"/>
    <x v="0"/>
    <x v="3"/>
    <x v="0"/>
  </r>
  <r>
    <x v="332"/>
    <s v="Adelia"/>
    <x v="332"/>
    <n v="636255184"/>
    <x v="0"/>
    <x v="271"/>
    <x v="1"/>
    <n v="1233.8800000000001"/>
    <x v="0"/>
    <x v="4"/>
    <x v="1"/>
  </r>
  <r>
    <x v="197"/>
    <s v="Alfredo"/>
    <x v="197"/>
    <n v="710390333"/>
    <x v="1"/>
    <x v="245"/>
    <x v="6"/>
    <n v="1540.97"/>
    <x v="0"/>
    <x v="0"/>
    <x v="0"/>
  </r>
  <r>
    <x v="2"/>
    <s v="Lupe"/>
    <x v="2"/>
    <n v="714510122"/>
    <x v="0"/>
    <x v="436"/>
    <x v="2"/>
    <n v="1866.94"/>
    <x v="0"/>
    <x v="0"/>
    <x v="0"/>
  </r>
  <r>
    <x v="280"/>
    <s v="Lola"/>
    <x v="280"/>
    <n v="892885525"/>
    <x v="1"/>
    <x v="321"/>
    <x v="10"/>
    <n v="1675"/>
    <x v="0"/>
    <x v="3"/>
    <x v="1"/>
  </r>
  <r>
    <x v="279"/>
    <s v="Blanca"/>
    <x v="279"/>
    <n v="745520576"/>
    <x v="1"/>
    <x v="305"/>
    <x v="1"/>
    <n v="426.6"/>
    <x v="1"/>
    <x v="0"/>
    <x v="1"/>
  </r>
  <r>
    <x v="352"/>
    <s v="Concepción"/>
    <x v="352"/>
    <n v="717920847"/>
    <x v="0"/>
    <x v="342"/>
    <x v="7"/>
    <n v="714.62"/>
    <x v="1"/>
    <x v="1"/>
    <x v="1"/>
  </r>
  <r>
    <x v="410"/>
    <s v="Rufino"/>
    <x v="410"/>
    <n v="730694210"/>
    <x v="1"/>
    <x v="553"/>
    <x v="3"/>
    <n v="385.88"/>
    <x v="0"/>
    <x v="3"/>
    <x v="1"/>
  </r>
  <r>
    <x v="403"/>
    <s v="Armida"/>
    <x v="403"/>
    <n v="942844383"/>
    <x v="0"/>
    <x v="171"/>
    <x v="13"/>
    <n v="1870.46"/>
    <x v="0"/>
    <x v="1"/>
    <x v="1"/>
  </r>
  <r>
    <x v="152"/>
    <s v="Ramona"/>
    <x v="152"/>
    <n v="860807644"/>
    <x v="0"/>
    <x v="554"/>
    <x v="7"/>
    <n v="971.05"/>
    <x v="0"/>
    <x v="1"/>
    <x v="0"/>
  </r>
  <r>
    <x v="130"/>
    <s v="Juan Carlos"/>
    <x v="130"/>
    <n v="941385528"/>
    <x v="2"/>
    <x v="324"/>
    <x v="17"/>
    <n v="790.43"/>
    <x v="0"/>
    <x v="3"/>
    <x v="1"/>
  </r>
  <r>
    <x v="288"/>
    <s v="Melisa"/>
    <x v="288"/>
    <n v="711121687"/>
    <x v="1"/>
    <x v="483"/>
    <x v="4"/>
    <n v="1583.26"/>
    <x v="0"/>
    <x v="3"/>
    <x v="1"/>
  </r>
  <r>
    <x v="114"/>
    <s v="Heraclio"/>
    <x v="114"/>
    <n v="727937300"/>
    <x v="0"/>
    <x v="555"/>
    <x v="10"/>
    <n v="1846.08"/>
    <x v="0"/>
    <x v="2"/>
    <x v="1"/>
  </r>
  <r>
    <x v="96"/>
    <s v="Angelita"/>
    <x v="96"/>
    <n v="749724328"/>
    <x v="0"/>
    <x v="401"/>
    <x v="23"/>
    <n v="1015.45"/>
    <x v="0"/>
    <x v="2"/>
    <x v="1"/>
  </r>
  <r>
    <x v="80"/>
    <s v="Leonel"/>
    <x v="80"/>
    <n v="816160530"/>
    <x v="1"/>
    <x v="532"/>
    <x v="19"/>
    <n v="73.260000000000005"/>
    <x v="0"/>
    <x v="0"/>
    <x v="1"/>
  </r>
  <r>
    <x v="104"/>
    <s v="Cayetana"/>
    <x v="104"/>
    <n v="930065477"/>
    <x v="0"/>
    <x v="349"/>
    <x v="11"/>
    <n v="353.37"/>
    <x v="0"/>
    <x v="2"/>
    <x v="0"/>
  </r>
  <r>
    <x v="217"/>
    <s v="Sarita"/>
    <x v="217"/>
    <n v="621081475"/>
    <x v="1"/>
    <x v="182"/>
    <x v="5"/>
    <n v="940.92"/>
    <x v="0"/>
    <x v="3"/>
    <x v="1"/>
  </r>
  <r>
    <x v="151"/>
    <s v="Roque"/>
    <x v="151"/>
    <n v="724968308"/>
    <x v="0"/>
    <x v="524"/>
    <x v="1"/>
    <n v="1043.1400000000001"/>
    <x v="0"/>
    <x v="2"/>
    <x v="0"/>
  </r>
  <r>
    <x v="298"/>
    <s v="Zoraida"/>
    <x v="298"/>
    <n v="917893213"/>
    <x v="1"/>
    <x v="249"/>
    <x v="7"/>
    <n v="421.8"/>
    <x v="0"/>
    <x v="5"/>
    <x v="0"/>
  </r>
  <r>
    <x v="462"/>
    <s v="Lucho"/>
    <x v="462"/>
    <n v="712172275"/>
    <x v="0"/>
    <x v="556"/>
    <x v="1"/>
    <n v="1548.47"/>
    <x v="0"/>
    <x v="2"/>
    <x v="1"/>
  </r>
  <r>
    <x v="463"/>
    <s v="Andrea"/>
    <x v="463"/>
    <n v="748373644"/>
    <x v="1"/>
    <x v="524"/>
    <x v="15"/>
    <n v="1578.46"/>
    <x v="0"/>
    <x v="3"/>
    <x v="1"/>
  </r>
  <r>
    <x v="279"/>
    <s v="Blanca"/>
    <x v="279"/>
    <n v="745520576"/>
    <x v="1"/>
    <x v="309"/>
    <x v="1"/>
    <n v="1667.55"/>
    <x v="0"/>
    <x v="0"/>
    <x v="0"/>
  </r>
  <r>
    <x v="155"/>
    <s v="Cloe"/>
    <x v="155"/>
    <n v="951388515"/>
    <x v="0"/>
    <x v="424"/>
    <x v="9"/>
    <n v="1567.12"/>
    <x v="1"/>
    <x v="2"/>
    <x v="0"/>
  </r>
  <r>
    <x v="228"/>
    <s v="Anastasio"/>
    <x v="228"/>
    <n v="728737230"/>
    <x v="1"/>
    <x v="557"/>
    <x v="13"/>
    <n v="700.31"/>
    <x v="0"/>
    <x v="1"/>
    <x v="0"/>
  </r>
  <r>
    <x v="79"/>
    <s v="Anselmo"/>
    <x v="79"/>
    <n v="954106570"/>
    <x v="0"/>
    <x v="138"/>
    <x v="10"/>
    <n v="1916.05"/>
    <x v="0"/>
    <x v="3"/>
    <x v="1"/>
  </r>
  <r>
    <x v="375"/>
    <s v="Eutropio"/>
    <x v="375"/>
    <n v="639659594"/>
    <x v="0"/>
    <x v="44"/>
    <x v="15"/>
    <n v="1478.84"/>
    <x v="0"/>
    <x v="0"/>
    <x v="0"/>
  </r>
  <r>
    <x v="321"/>
    <s v="Federico"/>
    <x v="321"/>
    <n v="715519555"/>
    <x v="1"/>
    <x v="440"/>
    <x v="11"/>
    <n v="390.57"/>
    <x v="2"/>
    <x v="4"/>
    <x v="0"/>
  </r>
  <r>
    <x v="332"/>
    <s v="Adelia"/>
    <x v="332"/>
    <n v="636255184"/>
    <x v="0"/>
    <x v="165"/>
    <x v="1"/>
    <n v="1800.71"/>
    <x v="2"/>
    <x v="1"/>
    <x v="0"/>
  </r>
  <r>
    <x v="100"/>
    <s v="Jose Miguel"/>
    <x v="100"/>
    <n v="717372411"/>
    <x v="0"/>
    <x v="12"/>
    <x v="3"/>
    <n v="1606.99"/>
    <x v="0"/>
    <x v="1"/>
    <x v="1"/>
  </r>
  <r>
    <x v="84"/>
    <s v="Daniel"/>
    <x v="84"/>
    <n v="733027275"/>
    <x v="1"/>
    <x v="558"/>
    <x v="17"/>
    <n v="807.42"/>
    <x v="0"/>
    <x v="3"/>
    <x v="0"/>
  </r>
  <r>
    <x v="256"/>
    <s v="Rafaela"/>
    <x v="256"/>
    <n v="725944347"/>
    <x v="1"/>
    <x v="559"/>
    <x v="4"/>
    <n v="1367.02"/>
    <x v="0"/>
    <x v="3"/>
    <x v="1"/>
  </r>
  <r>
    <x v="464"/>
    <s v="Cayetana"/>
    <x v="464"/>
    <n v="697866583"/>
    <x v="0"/>
    <x v="393"/>
    <x v="3"/>
    <n v="1528.5"/>
    <x v="0"/>
    <x v="2"/>
    <x v="0"/>
  </r>
  <r>
    <x v="465"/>
    <s v="Eli"/>
    <x v="465"/>
    <n v="711020139"/>
    <x v="1"/>
    <x v="348"/>
    <x v="12"/>
    <n v="1657.4"/>
    <x v="0"/>
    <x v="3"/>
    <x v="0"/>
  </r>
  <r>
    <x v="4"/>
    <s v="Manuel"/>
    <x v="4"/>
    <n v="722114878"/>
    <x v="0"/>
    <x v="210"/>
    <x v="4"/>
    <n v="1241.0999999999999"/>
    <x v="0"/>
    <x v="1"/>
    <x v="0"/>
  </r>
  <r>
    <x v="233"/>
    <s v="Narciso"/>
    <x v="233"/>
    <n v="707714744"/>
    <x v="2"/>
    <x v="560"/>
    <x v="9"/>
    <n v="1245.21"/>
    <x v="0"/>
    <x v="3"/>
    <x v="0"/>
  </r>
  <r>
    <x v="466"/>
    <s v="Fernando"/>
    <x v="466"/>
    <n v="745949966"/>
    <x v="2"/>
    <x v="47"/>
    <x v="5"/>
    <n v="775.66"/>
    <x v="2"/>
    <x v="2"/>
    <x v="1"/>
  </r>
  <r>
    <x v="284"/>
    <s v="Gonzalo"/>
    <x v="284"/>
    <n v="701325298"/>
    <x v="0"/>
    <x v="521"/>
    <x v="7"/>
    <n v="1897.39"/>
    <x v="0"/>
    <x v="3"/>
    <x v="1"/>
  </r>
  <r>
    <x v="268"/>
    <s v="Nicolás"/>
    <x v="268"/>
    <n v="703991673"/>
    <x v="1"/>
    <x v="354"/>
    <x v="16"/>
    <n v="1151.5999999999999"/>
    <x v="0"/>
    <x v="0"/>
    <x v="1"/>
  </r>
  <r>
    <x v="159"/>
    <s v="Reynaldo"/>
    <x v="159"/>
    <n v="723183453"/>
    <x v="2"/>
    <x v="438"/>
    <x v="12"/>
    <n v="1585.3"/>
    <x v="0"/>
    <x v="2"/>
    <x v="0"/>
  </r>
  <r>
    <x v="145"/>
    <s v="Kike"/>
    <x v="145"/>
    <n v="819517980"/>
    <x v="2"/>
    <x v="176"/>
    <x v="4"/>
    <n v="1170.0899999999999"/>
    <x v="0"/>
    <x v="2"/>
    <x v="0"/>
  </r>
  <r>
    <x v="467"/>
    <s v="Ascensión"/>
    <x v="467"/>
    <n v="812915735"/>
    <x v="0"/>
    <x v="175"/>
    <x v="4"/>
    <n v="1130.46"/>
    <x v="0"/>
    <x v="1"/>
    <x v="1"/>
  </r>
  <r>
    <x v="468"/>
    <s v="Tito"/>
    <x v="468"/>
    <n v="748753252"/>
    <x v="0"/>
    <x v="418"/>
    <x v="8"/>
    <n v="1196.8399999999999"/>
    <x v="0"/>
    <x v="2"/>
    <x v="1"/>
  </r>
  <r>
    <x v="437"/>
    <s v="Adalberto"/>
    <x v="437"/>
    <n v="713494387"/>
    <x v="0"/>
    <x v="515"/>
    <x v="1"/>
    <n v="1748.18"/>
    <x v="0"/>
    <x v="3"/>
    <x v="1"/>
  </r>
  <r>
    <x v="179"/>
    <s v="Felicidad"/>
    <x v="179"/>
    <n v="632927895"/>
    <x v="0"/>
    <x v="552"/>
    <x v="22"/>
    <n v="1378.79"/>
    <x v="0"/>
    <x v="3"/>
    <x v="1"/>
  </r>
  <r>
    <x v="241"/>
    <s v="Jaime"/>
    <x v="241"/>
    <n v="708355930"/>
    <x v="0"/>
    <x v="528"/>
    <x v="19"/>
    <n v="1911.48"/>
    <x v="0"/>
    <x v="3"/>
    <x v="0"/>
  </r>
  <r>
    <x v="77"/>
    <s v="Benito"/>
    <x v="77"/>
    <n v="937606933"/>
    <x v="0"/>
    <x v="71"/>
    <x v="8"/>
    <n v="776.93"/>
    <x v="1"/>
    <x v="1"/>
    <x v="1"/>
  </r>
  <r>
    <x v="469"/>
    <s v="Andrés Felipe"/>
    <x v="469"/>
    <n v="986129822"/>
    <x v="0"/>
    <x v="201"/>
    <x v="14"/>
    <n v="1745.82"/>
    <x v="0"/>
    <x v="2"/>
    <x v="0"/>
  </r>
  <r>
    <x v="324"/>
    <s v="Ascensión"/>
    <x v="324"/>
    <n v="733329234"/>
    <x v="1"/>
    <x v="141"/>
    <x v="15"/>
    <n v="725.19"/>
    <x v="2"/>
    <x v="3"/>
    <x v="0"/>
  </r>
  <r>
    <x v="39"/>
    <s v="Pepe"/>
    <x v="39"/>
    <n v="700258650"/>
    <x v="0"/>
    <x v="366"/>
    <x v="0"/>
    <n v="450.5"/>
    <x v="0"/>
    <x v="3"/>
    <x v="1"/>
  </r>
  <r>
    <x v="197"/>
    <s v="Alfredo"/>
    <x v="197"/>
    <n v="710390333"/>
    <x v="1"/>
    <x v="53"/>
    <x v="6"/>
    <n v="1661.29"/>
    <x v="0"/>
    <x v="3"/>
    <x v="1"/>
  </r>
  <r>
    <x v="464"/>
    <s v="Cayetana"/>
    <x v="464"/>
    <n v="697866583"/>
    <x v="0"/>
    <x v="561"/>
    <x v="3"/>
    <n v="272.22000000000003"/>
    <x v="0"/>
    <x v="3"/>
    <x v="1"/>
  </r>
  <r>
    <x v="271"/>
    <s v="Eustaquio"/>
    <x v="271"/>
    <n v="975321341"/>
    <x v="0"/>
    <x v="240"/>
    <x v="9"/>
    <n v="40.18"/>
    <x v="0"/>
    <x v="3"/>
    <x v="1"/>
  </r>
  <r>
    <x v="252"/>
    <s v="Fabián"/>
    <x v="252"/>
    <n v="741931466"/>
    <x v="1"/>
    <x v="332"/>
    <x v="7"/>
    <n v="1209.19"/>
    <x v="0"/>
    <x v="3"/>
    <x v="1"/>
  </r>
  <r>
    <x v="130"/>
    <s v="Juan Carlos"/>
    <x v="130"/>
    <n v="941385528"/>
    <x v="2"/>
    <x v="519"/>
    <x v="17"/>
    <n v="1962.37"/>
    <x v="0"/>
    <x v="4"/>
    <x v="0"/>
  </r>
  <r>
    <x v="240"/>
    <s v="Guiomar"/>
    <x v="240"/>
    <n v="718475072"/>
    <x v="1"/>
    <x v="562"/>
    <x v="9"/>
    <n v="1787.57"/>
    <x v="0"/>
    <x v="2"/>
    <x v="1"/>
  </r>
  <r>
    <x v="258"/>
    <s v="Carla"/>
    <x v="258"/>
    <n v="706401025"/>
    <x v="0"/>
    <x v="563"/>
    <x v="4"/>
    <n v="43.48"/>
    <x v="0"/>
    <x v="1"/>
    <x v="1"/>
  </r>
  <r>
    <x v="414"/>
    <s v="César"/>
    <x v="414"/>
    <n v="895649355"/>
    <x v="1"/>
    <x v="375"/>
    <x v="7"/>
    <n v="37.15"/>
    <x v="0"/>
    <x v="4"/>
    <x v="1"/>
  </r>
  <r>
    <x v="291"/>
    <s v="Jose Manuel"/>
    <x v="291"/>
    <n v="699894729"/>
    <x v="0"/>
    <x v="86"/>
    <x v="21"/>
    <n v="315.62"/>
    <x v="1"/>
    <x v="2"/>
    <x v="1"/>
  </r>
  <r>
    <x v="159"/>
    <s v="Reynaldo"/>
    <x v="159"/>
    <n v="723183453"/>
    <x v="2"/>
    <x v="326"/>
    <x v="12"/>
    <n v="776.64"/>
    <x v="0"/>
    <x v="1"/>
    <x v="1"/>
  </r>
  <r>
    <x v="470"/>
    <s v="Dan"/>
    <x v="470"/>
    <n v="739254068"/>
    <x v="1"/>
    <x v="325"/>
    <x v="7"/>
    <n v="1720.92"/>
    <x v="0"/>
    <x v="0"/>
    <x v="1"/>
  </r>
  <r>
    <x v="471"/>
    <s v="Lupe"/>
    <x v="471"/>
    <n v="736243040"/>
    <x v="0"/>
    <x v="143"/>
    <x v="19"/>
    <n v="1362.94"/>
    <x v="2"/>
    <x v="2"/>
    <x v="0"/>
  </r>
  <r>
    <x v="99"/>
    <s v="Leyre"/>
    <x v="99"/>
    <n v="649943369"/>
    <x v="1"/>
    <x v="219"/>
    <x v="5"/>
    <n v="1145.52"/>
    <x v="1"/>
    <x v="3"/>
    <x v="1"/>
  </r>
  <r>
    <x v="110"/>
    <s v="Bruno"/>
    <x v="110"/>
    <n v="721752316"/>
    <x v="1"/>
    <x v="31"/>
    <x v="17"/>
    <n v="1938.23"/>
    <x v="0"/>
    <x v="4"/>
    <x v="1"/>
  </r>
  <r>
    <x v="472"/>
    <s v="Jordana"/>
    <x v="472"/>
    <n v="996524673"/>
    <x v="0"/>
    <x v="564"/>
    <x v="11"/>
    <n v="693.16"/>
    <x v="0"/>
    <x v="3"/>
    <x v="1"/>
  </r>
  <r>
    <x v="7"/>
    <s v="Primitiva"/>
    <x v="7"/>
    <n v="681249637"/>
    <x v="2"/>
    <x v="517"/>
    <x v="2"/>
    <n v="386.18"/>
    <x v="0"/>
    <x v="2"/>
    <x v="1"/>
  </r>
  <r>
    <x v="141"/>
    <s v="Brunilda"/>
    <x v="141"/>
    <n v="652976786"/>
    <x v="1"/>
    <x v="476"/>
    <x v="8"/>
    <n v="797.05"/>
    <x v="0"/>
    <x v="3"/>
    <x v="1"/>
  </r>
  <r>
    <x v="115"/>
    <s v="Leandro"/>
    <x v="115"/>
    <n v="717637012"/>
    <x v="1"/>
    <x v="360"/>
    <x v="20"/>
    <n v="888.5"/>
    <x v="0"/>
    <x v="3"/>
    <x v="1"/>
  </r>
  <r>
    <x v="103"/>
    <s v="Emilia"/>
    <x v="103"/>
    <n v="721361791"/>
    <x v="0"/>
    <x v="305"/>
    <x v="7"/>
    <n v="1683.31"/>
    <x v="0"/>
    <x v="3"/>
    <x v="0"/>
  </r>
  <r>
    <x v="279"/>
    <s v="Blanca"/>
    <x v="279"/>
    <n v="745520576"/>
    <x v="1"/>
    <x v="565"/>
    <x v="1"/>
    <n v="1762.29"/>
    <x v="1"/>
    <x v="1"/>
    <x v="0"/>
  </r>
  <r>
    <x v="444"/>
    <s v="Isabela"/>
    <x v="444"/>
    <n v="651807606"/>
    <x v="1"/>
    <x v="149"/>
    <x v="10"/>
    <n v="1109.6500000000001"/>
    <x v="0"/>
    <x v="3"/>
    <x v="1"/>
  </r>
  <r>
    <x v="473"/>
    <s v="Federico"/>
    <x v="473"/>
    <n v="980854122"/>
    <x v="0"/>
    <x v="566"/>
    <x v="23"/>
    <n v="1864.49"/>
    <x v="0"/>
    <x v="2"/>
    <x v="0"/>
  </r>
  <r>
    <x v="302"/>
    <s v="Bernabé"/>
    <x v="302"/>
    <n v="996279256"/>
    <x v="0"/>
    <x v="273"/>
    <x v="15"/>
    <n v="737.75"/>
    <x v="1"/>
    <x v="2"/>
    <x v="0"/>
  </r>
  <r>
    <x v="353"/>
    <s v="Zaira"/>
    <x v="353"/>
    <n v="703370540"/>
    <x v="0"/>
    <x v="121"/>
    <x v="11"/>
    <n v="259.89"/>
    <x v="0"/>
    <x v="0"/>
    <x v="0"/>
  </r>
  <r>
    <x v="55"/>
    <s v="Lino"/>
    <x v="55"/>
    <n v="743293622"/>
    <x v="0"/>
    <x v="120"/>
    <x v="19"/>
    <n v="1098.4000000000001"/>
    <x v="2"/>
    <x v="1"/>
    <x v="1"/>
  </r>
  <r>
    <x v="161"/>
    <s v="Saturnino"/>
    <x v="161"/>
    <n v="705473147"/>
    <x v="0"/>
    <x v="62"/>
    <x v="19"/>
    <n v="1191.1600000000001"/>
    <x v="1"/>
    <x v="4"/>
    <x v="0"/>
  </r>
  <r>
    <x v="451"/>
    <s v="Hortensia"/>
    <x v="451"/>
    <n v="739348248"/>
    <x v="0"/>
    <x v="567"/>
    <x v="7"/>
    <n v="739.19"/>
    <x v="0"/>
    <x v="3"/>
    <x v="1"/>
  </r>
  <r>
    <x v="175"/>
    <s v="Paz"/>
    <x v="175"/>
    <n v="640094829"/>
    <x v="0"/>
    <x v="69"/>
    <x v="0"/>
    <n v="1008.15"/>
    <x v="0"/>
    <x v="2"/>
    <x v="0"/>
  </r>
  <r>
    <x v="87"/>
    <s v="Clementina"/>
    <x v="87"/>
    <n v="624519478"/>
    <x v="1"/>
    <x v="289"/>
    <x v="8"/>
    <n v="1055.1500000000001"/>
    <x v="0"/>
    <x v="4"/>
    <x v="0"/>
  </r>
  <r>
    <x v="93"/>
    <s v="Eleuterio"/>
    <x v="93"/>
    <n v="802128905"/>
    <x v="0"/>
    <x v="60"/>
    <x v="0"/>
    <n v="738.87"/>
    <x v="0"/>
    <x v="2"/>
    <x v="1"/>
  </r>
  <r>
    <x v="161"/>
    <s v="Saturnino"/>
    <x v="161"/>
    <n v="705473147"/>
    <x v="0"/>
    <x v="239"/>
    <x v="19"/>
    <n v="1947.23"/>
    <x v="0"/>
    <x v="1"/>
    <x v="1"/>
  </r>
  <r>
    <x v="343"/>
    <s v="Conrado"/>
    <x v="343"/>
    <n v="619806776"/>
    <x v="0"/>
    <x v="384"/>
    <x v="3"/>
    <n v="202.07"/>
    <x v="1"/>
    <x v="3"/>
    <x v="0"/>
  </r>
  <r>
    <x v="93"/>
    <s v="Eleuterio"/>
    <x v="93"/>
    <n v="802128905"/>
    <x v="0"/>
    <x v="487"/>
    <x v="0"/>
    <n v="888.96"/>
    <x v="0"/>
    <x v="2"/>
    <x v="0"/>
  </r>
  <r>
    <x v="169"/>
    <s v="Eliseo"/>
    <x v="169"/>
    <n v="741006511"/>
    <x v="0"/>
    <x v="108"/>
    <x v="9"/>
    <n v="11.81"/>
    <x v="0"/>
    <x v="1"/>
    <x v="0"/>
  </r>
  <r>
    <x v="27"/>
    <s v="Maite"/>
    <x v="27"/>
    <n v="723510058"/>
    <x v="1"/>
    <x v="212"/>
    <x v="14"/>
    <n v="729.15"/>
    <x v="0"/>
    <x v="0"/>
    <x v="0"/>
  </r>
  <r>
    <x v="474"/>
    <s v="Heraclio"/>
    <x v="474"/>
    <n v="879657385"/>
    <x v="0"/>
    <x v="568"/>
    <x v="22"/>
    <n v="853.25"/>
    <x v="0"/>
    <x v="3"/>
    <x v="1"/>
  </r>
  <r>
    <x v="109"/>
    <s v="Román"/>
    <x v="109"/>
    <n v="681942999"/>
    <x v="0"/>
    <x v="222"/>
    <x v="6"/>
    <n v="1438.33"/>
    <x v="0"/>
    <x v="2"/>
    <x v="0"/>
  </r>
  <r>
    <x v="475"/>
    <s v="Patricia"/>
    <x v="475"/>
    <n v="744889116"/>
    <x v="1"/>
    <x v="276"/>
    <x v="10"/>
    <n v="802.81"/>
    <x v="0"/>
    <x v="3"/>
    <x v="0"/>
  </r>
  <r>
    <x v="476"/>
    <s v="Casandra"/>
    <x v="476"/>
    <n v="631492423"/>
    <x v="1"/>
    <x v="483"/>
    <x v="14"/>
    <n v="1250.48"/>
    <x v="0"/>
    <x v="0"/>
    <x v="0"/>
  </r>
  <r>
    <x v="399"/>
    <s v="José"/>
    <x v="399"/>
    <n v="702573842"/>
    <x v="0"/>
    <x v="535"/>
    <x v="13"/>
    <n v="1061.9000000000001"/>
    <x v="0"/>
    <x v="1"/>
    <x v="1"/>
  </r>
  <r>
    <x v="118"/>
    <s v="Vidal"/>
    <x v="118"/>
    <n v="749984420"/>
    <x v="0"/>
    <x v="413"/>
    <x v="18"/>
    <n v="1882.09"/>
    <x v="0"/>
    <x v="1"/>
    <x v="1"/>
  </r>
  <r>
    <x v="129"/>
    <s v="Jerónimo"/>
    <x v="129"/>
    <n v="653146228"/>
    <x v="1"/>
    <x v="237"/>
    <x v="12"/>
    <n v="579.26"/>
    <x v="0"/>
    <x v="0"/>
    <x v="0"/>
  </r>
  <r>
    <x v="20"/>
    <s v="Leticia"/>
    <x v="20"/>
    <n v="747259283"/>
    <x v="0"/>
    <x v="292"/>
    <x v="12"/>
    <n v="819.46"/>
    <x v="0"/>
    <x v="2"/>
    <x v="1"/>
  </r>
  <r>
    <x v="417"/>
    <s v="Félix"/>
    <x v="417"/>
    <n v="729679272"/>
    <x v="1"/>
    <x v="456"/>
    <x v="23"/>
    <n v="596.29"/>
    <x v="1"/>
    <x v="3"/>
    <x v="0"/>
  </r>
  <r>
    <x v="115"/>
    <s v="Leandro"/>
    <x v="115"/>
    <n v="717637012"/>
    <x v="1"/>
    <x v="72"/>
    <x v="20"/>
    <n v="1546.6"/>
    <x v="0"/>
    <x v="0"/>
    <x v="1"/>
  </r>
  <r>
    <x v="448"/>
    <s v="Candelas"/>
    <x v="448"/>
    <n v="717432836"/>
    <x v="0"/>
    <x v="162"/>
    <x v="4"/>
    <n v="1546.39"/>
    <x v="0"/>
    <x v="0"/>
    <x v="1"/>
  </r>
  <r>
    <x v="316"/>
    <s v="Samanta"/>
    <x v="316"/>
    <n v="615926523"/>
    <x v="0"/>
    <x v="569"/>
    <x v="15"/>
    <n v="765.79"/>
    <x v="0"/>
    <x v="2"/>
    <x v="1"/>
  </r>
  <r>
    <x v="427"/>
    <s v="Angelita"/>
    <x v="427"/>
    <n v="636749216"/>
    <x v="0"/>
    <x v="497"/>
    <x v="19"/>
    <n v="706.05"/>
    <x v="1"/>
    <x v="3"/>
    <x v="0"/>
  </r>
  <r>
    <x v="379"/>
    <s v="Francisco Jose"/>
    <x v="379"/>
    <n v="740184253"/>
    <x v="2"/>
    <x v="64"/>
    <x v="16"/>
    <n v="1340.89"/>
    <x v="0"/>
    <x v="5"/>
    <x v="0"/>
  </r>
  <r>
    <x v="149"/>
    <s v="Dan"/>
    <x v="149"/>
    <n v="719409141"/>
    <x v="1"/>
    <x v="112"/>
    <x v="22"/>
    <n v="51.42"/>
    <x v="1"/>
    <x v="3"/>
    <x v="0"/>
  </r>
  <r>
    <x v="123"/>
    <s v="Eva María"/>
    <x v="123"/>
    <n v="713186177"/>
    <x v="1"/>
    <x v="570"/>
    <x v="2"/>
    <n v="1415.69"/>
    <x v="0"/>
    <x v="0"/>
    <x v="1"/>
  </r>
  <r>
    <x v="171"/>
    <s v="Manolo"/>
    <x v="171"/>
    <n v="859523189"/>
    <x v="0"/>
    <x v="302"/>
    <x v="17"/>
    <n v="46.31"/>
    <x v="1"/>
    <x v="2"/>
    <x v="1"/>
  </r>
  <r>
    <x v="256"/>
    <s v="Rafaela"/>
    <x v="256"/>
    <n v="725944347"/>
    <x v="1"/>
    <x v="214"/>
    <x v="4"/>
    <n v="281.10000000000002"/>
    <x v="0"/>
    <x v="0"/>
    <x v="1"/>
  </r>
  <r>
    <x v="116"/>
    <s v="Ramona"/>
    <x v="116"/>
    <n v="622023254"/>
    <x v="0"/>
    <x v="33"/>
    <x v="13"/>
    <n v="1449.87"/>
    <x v="0"/>
    <x v="0"/>
    <x v="1"/>
  </r>
  <r>
    <x v="189"/>
    <s v="Reina"/>
    <x v="189"/>
    <n v="705449727"/>
    <x v="0"/>
    <x v="571"/>
    <x v="7"/>
    <n v="496.52"/>
    <x v="0"/>
    <x v="2"/>
    <x v="0"/>
  </r>
  <r>
    <x v="126"/>
    <s v="Rodolfo"/>
    <x v="126"/>
    <n v="718300332"/>
    <x v="0"/>
    <x v="572"/>
    <x v="4"/>
    <n v="486.37"/>
    <x v="0"/>
    <x v="4"/>
    <x v="0"/>
  </r>
  <r>
    <x v="370"/>
    <s v="Edelmiro"/>
    <x v="370"/>
    <n v="716077636"/>
    <x v="1"/>
    <x v="573"/>
    <x v="23"/>
    <n v="1689.76"/>
    <x v="0"/>
    <x v="0"/>
    <x v="1"/>
  </r>
  <r>
    <x v="359"/>
    <s v="Tamara"/>
    <x v="359"/>
    <n v="721034679"/>
    <x v="0"/>
    <x v="518"/>
    <x v="21"/>
    <n v="138.11000000000001"/>
    <x v="0"/>
    <x v="1"/>
    <x v="1"/>
  </r>
  <r>
    <x v="476"/>
    <s v="Casandra"/>
    <x v="476"/>
    <n v="631492423"/>
    <x v="1"/>
    <x v="226"/>
    <x v="14"/>
    <n v="1466.81"/>
    <x v="0"/>
    <x v="4"/>
    <x v="0"/>
  </r>
  <r>
    <x v="377"/>
    <s v="Victor Manuel"/>
    <x v="377"/>
    <n v="726225372"/>
    <x v="0"/>
    <x v="574"/>
    <x v="19"/>
    <n v="1721.31"/>
    <x v="0"/>
    <x v="4"/>
    <x v="1"/>
  </r>
  <r>
    <x v="71"/>
    <s v="Régulo"/>
    <x v="71"/>
    <n v="841231253"/>
    <x v="0"/>
    <x v="33"/>
    <x v="10"/>
    <n v="264.37"/>
    <x v="0"/>
    <x v="5"/>
    <x v="0"/>
  </r>
  <r>
    <x v="242"/>
    <s v="Liliana"/>
    <x v="242"/>
    <n v="737596279"/>
    <x v="0"/>
    <x v="33"/>
    <x v="21"/>
    <n v="221.54"/>
    <x v="0"/>
    <x v="3"/>
    <x v="1"/>
  </r>
  <r>
    <x v="131"/>
    <s v="Yaiza"/>
    <x v="131"/>
    <n v="714072413"/>
    <x v="1"/>
    <x v="75"/>
    <x v="15"/>
    <n v="343.93"/>
    <x v="0"/>
    <x v="0"/>
    <x v="1"/>
  </r>
  <r>
    <x v="142"/>
    <s v="Néstor"/>
    <x v="142"/>
    <n v="723570924"/>
    <x v="0"/>
    <x v="575"/>
    <x v="16"/>
    <n v="480.75"/>
    <x v="0"/>
    <x v="2"/>
    <x v="0"/>
  </r>
  <r>
    <x v="238"/>
    <s v="Magdalena"/>
    <x v="238"/>
    <n v="650924818"/>
    <x v="1"/>
    <x v="576"/>
    <x v="17"/>
    <n v="720.57"/>
    <x v="1"/>
    <x v="3"/>
    <x v="1"/>
  </r>
  <r>
    <x v="239"/>
    <s v="Estela"/>
    <x v="239"/>
    <n v="722992018"/>
    <x v="0"/>
    <x v="483"/>
    <x v="12"/>
    <n v="133.22"/>
    <x v="0"/>
    <x v="2"/>
    <x v="1"/>
  </r>
  <r>
    <x v="102"/>
    <s v="Angelita"/>
    <x v="102"/>
    <n v="719168799"/>
    <x v="0"/>
    <x v="386"/>
    <x v="17"/>
    <n v="718.47"/>
    <x v="1"/>
    <x v="1"/>
    <x v="0"/>
  </r>
  <r>
    <x v="426"/>
    <s v="Sebastian"/>
    <x v="426"/>
    <n v="899491733"/>
    <x v="0"/>
    <x v="577"/>
    <x v="18"/>
    <n v="536.51"/>
    <x v="0"/>
    <x v="2"/>
    <x v="1"/>
  </r>
  <r>
    <x v="224"/>
    <s v="Mateo"/>
    <x v="224"/>
    <n v="651438049"/>
    <x v="0"/>
    <x v="48"/>
    <x v="11"/>
    <n v="736.19"/>
    <x v="0"/>
    <x v="0"/>
    <x v="0"/>
  </r>
  <r>
    <x v="373"/>
    <s v="Leonor"/>
    <x v="373"/>
    <n v="706232765"/>
    <x v="0"/>
    <x v="577"/>
    <x v="1"/>
    <n v="1985.79"/>
    <x v="0"/>
    <x v="1"/>
    <x v="0"/>
  </r>
  <r>
    <x v="391"/>
    <s v="Cipriano"/>
    <x v="391"/>
    <n v="877322134"/>
    <x v="1"/>
    <x v="419"/>
    <x v="5"/>
    <n v="1748.15"/>
    <x v="2"/>
    <x v="0"/>
    <x v="1"/>
  </r>
  <r>
    <x v="459"/>
    <s v="Victor Manuel"/>
    <x v="459"/>
    <n v="717669942"/>
    <x v="0"/>
    <x v="578"/>
    <x v="19"/>
    <n v="1481.77"/>
    <x v="1"/>
    <x v="0"/>
    <x v="1"/>
  </r>
  <r>
    <x v="332"/>
    <s v="Adelia"/>
    <x v="332"/>
    <n v="636255184"/>
    <x v="0"/>
    <x v="93"/>
    <x v="1"/>
    <n v="199.41"/>
    <x v="0"/>
    <x v="0"/>
    <x v="0"/>
  </r>
  <r>
    <x v="308"/>
    <s v="Fidela"/>
    <x v="308"/>
    <n v="704384474"/>
    <x v="0"/>
    <x v="246"/>
    <x v="0"/>
    <n v="920.6"/>
    <x v="1"/>
    <x v="0"/>
    <x v="1"/>
  </r>
  <r>
    <x v="283"/>
    <s v="María Fernanda"/>
    <x v="283"/>
    <n v="735892521"/>
    <x v="1"/>
    <x v="103"/>
    <x v="0"/>
    <n v="107.11"/>
    <x v="0"/>
    <x v="0"/>
    <x v="1"/>
  </r>
  <r>
    <x v="477"/>
    <s v="Domitila"/>
    <x v="477"/>
    <n v="828648397"/>
    <x v="0"/>
    <x v="0"/>
    <x v="5"/>
    <n v="1175.47"/>
    <x v="0"/>
    <x v="1"/>
    <x v="1"/>
  </r>
  <r>
    <x v="301"/>
    <s v="Fidela"/>
    <x v="301"/>
    <n v="724173510"/>
    <x v="0"/>
    <x v="183"/>
    <x v="16"/>
    <n v="669.96"/>
    <x v="0"/>
    <x v="1"/>
    <x v="1"/>
  </r>
  <r>
    <x v="332"/>
    <s v="Adelia"/>
    <x v="332"/>
    <n v="636255184"/>
    <x v="0"/>
    <x v="9"/>
    <x v="1"/>
    <n v="1384.54"/>
    <x v="0"/>
    <x v="3"/>
    <x v="1"/>
  </r>
  <r>
    <x v="93"/>
    <s v="Eleuterio"/>
    <x v="93"/>
    <n v="802128905"/>
    <x v="0"/>
    <x v="99"/>
    <x v="0"/>
    <n v="1188.6300000000001"/>
    <x v="0"/>
    <x v="2"/>
    <x v="0"/>
  </r>
  <r>
    <x v="262"/>
    <s v="Nuria"/>
    <x v="262"/>
    <n v="804914249"/>
    <x v="0"/>
    <x v="353"/>
    <x v="2"/>
    <n v="1075.83"/>
    <x v="0"/>
    <x v="1"/>
    <x v="0"/>
  </r>
  <r>
    <x v="96"/>
    <s v="Angelita"/>
    <x v="96"/>
    <n v="749724328"/>
    <x v="0"/>
    <x v="103"/>
    <x v="23"/>
    <n v="1677.26"/>
    <x v="0"/>
    <x v="2"/>
    <x v="1"/>
  </r>
  <r>
    <x v="258"/>
    <s v="Carla"/>
    <x v="258"/>
    <n v="706401025"/>
    <x v="0"/>
    <x v="339"/>
    <x v="4"/>
    <n v="1143.72"/>
    <x v="1"/>
    <x v="2"/>
    <x v="0"/>
  </r>
  <r>
    <x v="11"/>
    <s v="Plácido"/>
    <x v="11"/>
    <n v="806023701"/>
    <x v="0"/>
    <x v="214"/>
    <x v="6"/>
    <n v="1076.6300000000001"/>
    <x v="0"/>
    <x v="1"/>
    <x v="1"/>
  </r>
  <r>
    <x v="111"/>
    <s v="Maximino"/>
    <x v="111"/>
    <n v="719370887"/>
    <x v="1"/>
    <x v="147"/>
    <x v="14"/>
    <n v="1432.67"/>
    <x v="0"/>
    <x v="1"/>
    <x v="1"/>
  </r>
  <r>
    <x v="467"/>
    <s v="Ascensión"/>
    <x v="467"/>
    <n v="812915735"/>
    <x v="0"/>
    <x v="223"/>
    <x v="4"/>
    <n v="479.16"/>
    <x v="1"/>
    <x v="2"/>
    <x v="0"/>
  </r>
  <r>
    <x v="288"/>
    <s v="Melisa"/>
    <x v="288"/>
    <n v="711121687"/>
    <x v="1"/>
    <x v="347"/>
    <x v="4"/>
    <n v="1674.32"/>
    <x v="0"/>
    <x v="1"/>
    <x v="0"/>
  </r>
  <r>
    <x v="93"/>
    <s v="Eleuterio"/>
    <x v="93"/>
    <n v="802128905"/>
    <x v="0"/>
    <x v="225"/>
    <x v="0"/>
    <n v="909.72"/>
    <x v="0"/>
    <x v="2"/>
    <x v="0"/>
  </r>
  <r>
    <x v="478"/>
    <s v="Salvador"/>
    <x v="478"/>
    <n v="930961570"/>
    <x v="1"/>
    <x v="327"/>
    <x v="5"/>
    <n v="1469.22"/>
    <x v="0"/>
    <x v="3"/>
    <x v="1"/>
  </r>
  <r>
    <x v="307"/>
    <s v="Morena"/>
    <x v="307"/>
    <n v="746921271"/>
    <x v="1"/>
    <x v="545"/>
    <x v="17"/>
    <n v="1303.1099999999999"/>
    <x v="1"/>
    <x v="0"/>
    <x v="1"/>
  </r>
  <r>
    <x v="49"/>
    <s v="Priscila"/>
    <x v="49"/>
    <n v="708646101"/>
    <x v="0"/>
    <x v="70"/>
    <x v="0"/>
    <n v="870.65"/>
    <x v="0"/>
    <x v="1"/>
    <x v="1"/>
  </r>
  <r>
    <x v="44"/>
    <s v="Régulo"/>
    <x v="44"/>
    <n v="739667567"/>
    <x v="0"/>
    <x v="579"/>
    <x v="17"/>
    <n v="491.93"/>
    <x v="0"/>
    <x v="4"/>
    <x v="1"/>
  </r>
  <r>
    <x v="215"/>
    <s v="Curro"/>
    <x v="215"/>
    <n v="728307481"/>
    <x v="0"/>
    <x v="580"/>
    <x v="3"/>
    <n v="1823.06"/>
    <x v="0"/>
    <x v="2"/>
    <x v="0"/>
  </r>
  <r>
    <x v="251"/>
    <s v="Yéssica"/>
    <x v="251"/>
    <n v="933910652"/>
    <x v="1"/>
    <x v="426"/>
    <x v="7"/>
    <n v="174.15"/>
    <x v="0"/>
    <x v="3"/>
    <x v="0"/>
  </r>
  <r>
    <x v="386"/>
    <s v="Rico"/>
    <x v="386"/>
    <n v="748518150"/>
    <x v="1"/>
    <x v="72"/>
    <x v="19"/>
    <n v="1187.3699999999999"/>
    <x v="0"/>
    <x v="1"/>
    <x v="0"/>
  </r>
  <r>
    <x v="109"/>
    <s v="Román"/>
    <x v="109"/>
    <n v="681942999"/>
    <x v="0"/>
    <x v="130"/>
    <x v="6"/>
    <n v="1969.97"/>
    <x v="0"/>
    <x v="3"/>
    <x v="0"/>
  </r>
  <r>
    <x v="143"/>
    <s v="Benita"/>
    <x v="143"/>
    <n v="742193948"/>
    <x v="0"/>
    <x v="62"/>
    <x v="19"/>
    <n v="950.45"/>
    <x v="0"/>
    <x v="1"/>
    <x v="1"/>
  </r>
  <r>
    <x v="405"/>
    <s v="Gil"/>
    <x v="405"/>
    <n v="737928942"/>
    <x v="0"/>
    <x v="96"/>
    <x v="2"/>
    <n v="626.16999999999996"/>
    <x v="0"/>
    <x v="4"/>
    <x v="1"/>
  </r>
  <r>
    <x v="301"/>
    <s v="Fidela"/>
    <x v="301"/>
    <n v="724173510"/>
    <x v="0"/>
    <x v="21"/>
    <x v="16"/>
    <n v="172.38"/>
    <x v="2"/>
    <x v="2"/>
    <x v="1"/>
  </r>
  <r>
    <x v="12"/>
    <s v="Custodia"/>
    <x v="12"/>
    <n v="734311637"/>
    <x v="0"/>
    <x v="481"/>
    <x v="7"/>
    <n v="1538.22"/>
    <x v="0"/>
    <x v="0"/>
    <x v="0"/>
  </r>
  <r>
    <x v="96"/>
    <s v="Angelita"/>
    <x v="96"/>
    <n v="749724328"/>
    <x v="0"/>
    <x v="238"/>
    <x v="23"/>
    <n v="1354.26"/>
    <x v="0"/>
    <x v="1"/>
    <x v="0"/>
  </r>
  <r>
    <x v="471"/>
    <s v="Lupe"/>
    <x v="471"/>
    <n v="736243040"/>
    <x v="0"/>
    <x v="26"/>
    <x v="19"/>
    <n v="1459.55"/>
    <x v="0"/>
    <x v="2"/>
    <x v="0"/>
  </r>
  <r>
    <x v="185"/>
    <s v="Victorino"/>
    <x v="185"/>
    <n v="718849459"/>
    <x v="0"/>
    <x v="317"/>
    <x v="16"/>
    <n v="692.54"/>
    <x v="2"/>
    <x v="2"/>
    <x v="1"/>
  </r>
  <r>
    <x v="448"/>
    <s v="Candelas"/>
    <x v="448"/>
    <n v="717432836"/>
    <x v="0"/>
    <x v="139"/>
    <x v="4"/>
    <n v="1007.95"/>
    <x v="0"/>
    <x v="2"/>
    <x v="0"/>
  </r>
  <r>
    <x v="358"/>
    <s v="Ricardo"/>
    <x v="358"/>
    <n v="701616066"/>
    <x v="0"/>
    <x v="284"/>
    <x v="16"/>
    <n v="1911.6"/>
    <x v="0"/>
    <x v="1"/>
    <x v="1"/>
  </r>
  <r>
    <x v="62"/>
    <s v="Jesusa"/>
    <x v="62"/>
    <n v="948373777"/>
    <x v="0"/>
    <x v="481"/>
    <x v="16"/>
    <n v="1423.87"/>
    <x v="0"/>
    <x v="5"/>
    <x v="0"/>
  </r>
  <r>
    <x v="28"/>
    <s v="Pepito"/>
    <x v="28"/>
    <n v="982589898"/>
    <x v="1"/>
    <x v="68"/>
    <x v="15"/>
    <n v="1706.09"/>
    <x v="0"/>
    <x v="0"/>
    <x v="0"/>
  </r>
  <r>
    <x v="316"/>
    <s v="Samanta"/>
    <x v="316"/>
    <n v="615926523"/>
    <x v="0"/>
    <x v="223"/>
    <x v="15"/>
    <n v="1491.27"/>
    <x v="2"/>
    <x v="2"/>
    <x v="0"/>
  </r>
  <r>
    <x v="479"/>
    <s v="Carmen"/>
    <x v="479"/>
    <n v="925202711"/>
    <x v="1"/>
    <x v="291"/>
    <x v="22"/>
    <n v="1928.83"/>
    <x v="0"/>
    <x v="4"/>
    <x v="1"/>
  </r>
  <r>
    <x v="11"/>
    <s v="Plácido"/>
    <x v="11"/>
    <n v="806023701"/>
    <x v="0"/>
    <x v="239"/>
    <x v="6"/>
    <n v="332.73"/>
    <x v="0"/>
    <x v="2"/>
    <x v="1"/>
  </r>
  <r>
    <x v="480"/>
    <s v="Cecilia"/>
    <x v="480"/>
    <n v="730037391"/>
    <x v="0"/>
    <x v="304"/>
    <x v="7"/>
    <n v="1722.03"/>
    <x v="0"/>
    <x v="3"/>
    <x v="1"/>
  </r>
  <r>
    <x v="140"/>
    <s v="Socorro"/>
    <x v="140"/>
    <n v="708352673"/>
    <x v="0"/>
    <x v="581"/>
    <x v="3"/>
    <n v="1112.44"/>
    <x v="0"/>
    <x v="1"/>
    <x v="1"/>
  </r>
  <r>
    <x v="481"/>
    <s v="Hector"/>
    <x v="481"/>
    <n v="983007269"/>
    <x v="0"/>
    <x v="360"/>
    <x v="11"/>
    <n v="183.84"/>
    <x v="0"/>
    <x v="1"/>
    <x v="1"/>
  </r>
  <r>
    <x v="298"/>
    <s v="Zoraida"/>
    <x v="298"/>
    <n v="917893213"/>
    <x v="1"/>
    <x v="49"/>
    <x v="7"/>
    <n v="1356.09"/>
    <x v="0"/>
    <x v="0"/>
    <x v="1"/>
  </r>
  <r>
    <x v="58"/>
    <s v="Clarisa"/>
    <x v="58"/>
    <n v="705986638"/>
    <x v="0"/>
    <x v="582"/>
    <x v="10"/>
    <n v="1393.78"/>
    <x v="0"/>
    <x v="2"/>
    <x v="0"/>
  </r>
  <r>
    <x v="365"/>
    <s v="Fanny"/>
    <x v="365"/>
    <n v="974043470"/>
    <x v="1"/>
    <x v="99"/>
    <x v="1"/>
    <n v="869.21"/>
    <x v="0"/>
    <x v="0"/>
    <x v="0"/>
  </r>
  <r>
    <x v="482"/>
    <s v="Rafaela"/>
    <x v="482"/>
    <n v="629889888"/>
    <x v="0"/>
    <x v="15"/>
    <x v="6"/>
    <n v="1765.99"/>
    <x v="0"/>
    <x v="4"/>
    <x v="1"/>
  </r>
  <r>
    <x v="333"/>
    <s v="Cristian"/>
    <x v="333"/>
    <n v="827325070"/>
    <x v="0"/>
    <x v="222"/>
    <x v="6"/>
    <n v="1767.17"/>
    <x v="1"/>
    <x v="0"/>
    <x v="1"/>
  </r>
  <r>
    <x v="81"/>
    <s v="Pepito"/>
    <x v="81"/>
    <n v="859697886"/>
    <x v="0"/>
    <x v="583"/>
    <x v="12"/>
    <n v="657.45"/>
    <x v="0"/>
    <x v="1"/>
    <x v="0"/>
  </r>
  <r>
    <x v="418"/>
    <s v="Bibiana"/>
    <x v="418"/>
    <n v="924230623"/>
    <x v="0"/>
    <x v="584"/>
    <x v="16"/>
    <n v="1546.55"/>
    <x v="0"/>
    <x v="4"/>
    <x v="0"/>
  </r>
  <r>
    <x v="416"/>
    <s v="Georgina"/>
    <x v="416"/>
    <n v="745334445"/>
    <x v="1"/>
    <x v="403"/>
    <x v="10"/>
    <n v="1726.83"/>
    <x v="0"/>
    <x v="4"/>
    <x v="0"/>
  </r>
  <r>
    <x v="483"/>
    <s v="Modesta"/>
    <x v="483"/>
    <n v="737735132"/>
    <x v="0"/>
    <x v="585"/>
    <x v="9"/>
    <n v="512.97"/>
    <x v="0"/>
    <x v="2"/>
    <x v="0"/>
  </r>
  <r>
    <x v="54"/>
    <s v="Pascual"/>
    <x v="54"/>
    <n v="743862708"/>
    <x v="0"/>
    <x v="108"/>
    <x v="8"/>
    <n v="504.46"/>
    <x v="1"/>
    <x v="0"/>
    <x v="0"/>
  </r>
  <r>
    <x v="39"/>
    <s v="Pepe"/>
    <x v="39"/>
    <n v="700258650"/>
    <x v="0"/>
    <x v="499"/>
    <x v="0"/>
    <n v="1726.97"/>
    <x v="0"/>
    <x v="2"/>
    <x v="0"/>
  </r>
  <r>
    <x v="484"/>
    <s v="Fortunato"/>
    <x v="484"/>
    <n v="983839916"/>
    <x v="1"/>
    <x v="493"/>
    <x v="19"/>
    <n v="504.1"/>
    <x v="0"/>
    <x v="3"/>
    <x v="0"/>
  </r>
  <r>
    <x v="485"/>
    <s v="Dorita"/>
    <x v="485"/>
    <n v="742937944"/>
    <x v="0"/>
    <x v="391"/>
    <x v="12"/>
    <n v="304.95"/>
    <x v="0"/>
    <x v="2"/>
    <x v="1"/>
  </r>
  <r>
    <x v="474"/>
    <s v="Heraclio"/>
    <x v="474"/>
    <n v="879657385"/>
    <x v="0"/>
    <x v="160"/>
    <x v="22"/>
    <n v="1004.82"/>
    <x v="0"/>
    <x v="2"/>
    <x v="1"/>
  </r>
  <r>
    <x v="444"/>
    <s v="Isabela"/>
    <x v="444"/>
    <n v="651807606"/>
    <x v="1"/>
    <x v="428"/>
    <x v="10"/>
    <n v="846.49"/>
    <x v="2"/>
    <x v="0"/>
    <x v="0"/>
  </r>
  <r>
    <x v="486"/>
    <s v="Emigdio"/>
    <x v="486"/>
    <n v="724781608"/>
    <x v="0"/>
    <x v="562"/>
    <x v="11"/>
    <n v="1166.8499999999999"/>
    <x v="0"/>
    <x v="3"/>
    <x v="0"/>
  </r>
  <r>
    <x v="220"/>
    <s v="Simón"/>
    <x v="220"/>
    <n v="728581458"/>
    <x v="0"/>
    <x v="586"/>
    <x v="11"/>
    <n v="540.30999999999995"/>
    <x v="0"/>
    <x v="2"/>
    <x v="1"/>
  </r>
  <r>
    <x v="487"/>
    <s v="Ileana"/>
    <x v="487"/>
    <n v="706544642"/>
    <x v="1"/>
    <x v="340"/>
    <x v="18"/>
    <n v="1033.3599999999999"/>
    <x v="0"/>
    <x v="3"/>
    <x v="1"/>
  </r>
  <r>
    <x v="483"/>
    <s v="Modesta"/>
    <x v="483"/>
    <n v="737735132"/>
    <x v="0"/>
    <x v="181"/>
    <x v="9"/>
    <n v="1963.02"/>
    <x v="0"/>
    <x v="3"/>
    <x v="1"/>
  </r>
  <r>
    <x v="198"/>
    <s v="Ligia"/>
    <x v="198"/>
    <n v="720195198"/>
    <x v="1"/>
    <x v="250"/>
    <x v="18"/>
    <n v="1192.4100000000001"/>
    <x v="1"/>
    <x v="3"/>
    <x v="0"/>
  </r>
  <r>
    <x v="488"/>
    <s v="Octavio"/>
    <x v="488"/>
    <n v="725166782"/>
    <x v="0"/>
    <x v="587"/>
    <x v="10"/>
    <n v="908.1"/>
    <x v="2"/>
    <x v="0"/>
    <x v="0"/>
  </r>
  <r>
    <x v="35"/>
    <s v="Álvaro"/>
    <x v="35"/>
    <n v="888046669"/>
    <x v="1"/>
    <x v="588"/>
    <x v="8"/>
    <n v="640.01"/>
    <x v="0"/>
    <x v="1"/>
    <x v="0"/>
  </r>
  <r>
    <x v="288"/>
    <s v="Melisa"/>
    <x v="288"/>
    <n v="711121687"/>
    <x v="1"/>
    <x v="406"/>
    <x v="4"/>
    <n v="301.73"/>
    <x v="1"/>
    <x v="4"/>
    <x v="0"/>
  </r>
  <r>
    <x v="262"/>
    <s v="Nuria"/>
    <x v="262"/>
    <n v="804914249"/>
    <x v="0"/>
    <x v="234"/>
    <x v="2"/>
    <n v="1645.79"/>
    <x v="0"/>
    <x v="0"/>
    <x v="0"/>
  </r>
  <r>
    <x v="432"/>
    <s v="Aurora"/>
    <x v="432"/>
    <n v="809782522"/>
    <x v="0"/>
    <x v="566"/>
    <x v="0"/>
    <n v="1150.45"/>
    <x v="0"/>
    <x v="2"/>
    <x v="1"/>
  </r>
  <r>
    <x v="45"/>
    <s v="Maxi"/>
    <x v="45"/>
    <n v="726799934"/>
    <x v="1"/>
    <x v="504"/>
    <x v="7"/>
    <n v="1978.43"/>
    <x v="0"/>
    <x v="3"/>
    <x v="1"/>
  </r>
  <r>
    <x v="292"/>
    <s v="Carmen"/>
    <x v="292"/>
    <n v="921591687"/>
    <x v="0"/>
    <x v="470"/>
    <x v="1"/>
    <n v="1242.26"/>
    <x v="0"/>
    <x v="3"/>
    <x v="1"/>
  </r>
  <r>
    <x v="226"/>
    <s v="Luciana"/>
    <x v="226"/>
    <n v="748416256"/>
    <x v="0"/>
    <x v="589"/>
    <x v="2"/>
    <n v="1641.62"/>
    <x v="0"/>
    <x v="2"/>
    <x v="1"/>
  </r>
  <r>
    <x v="108"/>
    <s v="Jesús"/>
    <x v="108"/>
    <n v="979540496"/>
    <x v="0"/>
    <x v="590"/>
    <x v="4"/>
    <n v="242.57"/>
    <x v="0"/>
    <x v="2"/>
    <x v="1"/>
  </r>
  <r>
    <x v="146"/>
    <s v="Lupe"/>
    <x v="146"/>
    <n v="735567153"/>
    <x v="0"/>
    <x v="315"/>
    <x v="12"/>
    <n v="1228.45"/>
    <x v="0"/>
    <x v="2"/>
    <x v="0"/>
  </r>
  <r>
    <x v="381"/>
    <s v="Narciso"/>
    <x v="381"/>
    <n v="701336805"/>
    <x v="1"/>
    <x v="417"/>
    <x v="5"/>
    <n v="929.73"/>
    <x v="0"/>
    <x v="3"/>
    <x v="0"/>
  </r>
  <r>
    <x v="158"/>
    <s v="Andrés Felipe"/>
    <x v="158"/>
    <n v="703436635"/>
    <x v="0"/>
    <x v="272"/>
    <x v="16"/>
    <n v="1834.28"/>
    <x v="0"/>
    <x v="1"/>
    <x v="0"/>
  </r>
  <r>
    <x v="258"/>
    <s v="Carla"/>
    <x v="258"/>
    <n v="706401025"/>
    <x v="0"/>
    <x v="339"/>
    <x v="4"/>
    <n v="1740.8"/>
    <x v="0"/>
    <x v="2"/>
    <x v="0"/>
  </r>
  <r>
    <x v="282"/>
    <s v="Rita"/>
    <x v="282"/>
    <n v="988674084"/>
    <x v="0"/>
    <x v="576"/>
    <x v="3"/>
    <n v="461.1"/>
    <x v="0"/>
    <x v="4"/>
    <x v="1"/>
  </r>
  <r>
    <x v="221"/>
    <s v="Josep"/>
    <x v="221"/>
    <n v="707057282"/>
    <x v="2"/>
    <x v="420"/>
    <x v="19"/>
    <n v="904.8"/>
    <x v="0"/>
    <x v="2"/>
    <x v="0"/>
  </r>
  <r>
    <x v="275"/>
    <s v="María"/>
    <x v="275"/>
    <n v="919457468"/>
    <x v="0"/>
    <x v="546"/>
    <x v="10"/>
    <n v="1615.53"/>
    <x v="0"/>
    <x v="1"/>
    <x v="0"/>
  </r>
  <r>
    <x v="271"/>
    <s v="Eustaquio"/>
    <x v="271"/>
    <n v="975321341"/>
    <x v="0"/>
    <x v="272"/>
    <x v="9"/>
    <n v="1675.81"/>
    <x v="0"/>
    <x v="3"/>
    <x v="1"/>
  </r>
  <r>
    <x v="403"/>
    <s v="Armida"/>
    <x v="403"/>
    <n v="942844383"/>
    <x v="0"/>
    <x v="200"/>
    <x v="13"/>
    <n v="1875.67"/>
    <x v="1"/>
    <x v="2"/>
    <x v="1"/>
  </r>
  <r>
    <x v="257"/>
    <s v="Ruperto"/>
    <x v="257"/>
    <n v="854810022"/>
    <x v="1"/>
    <x v="591"/>
    <x v="12"/>
    <n v="431.29"/>
    <x v="2"/>
    <x v="3"/>
    <x v="0"/>
  </r>
  <r>
    <x v="98"/>
    <s v="Augusto"/>
    <x v="98"/>
    <n v="970397357"/>
    <x v="1"/>
    <x v="186"/>
    <x v="2"/>
    <n v="1543.68"/>
    <x v="0"/>
    <x v="3"/>
    <x v="1"/>
  </r>
  <r>
    <x v="206"/>
    <s v="Samuel"/>
    <x v="206"/>
    <n v="732119992"/>
    <x v="0"/>
    <x v="550"/>
    <x v="4"/>
    <n v="1345.58"/>
    <x v="0"/>
    <x v="2"/>
    <x v="0"/>
  </r>
  <r>
    <x v="4"/>
    <s v="Manuel"/>
    <x v="4"/>
    <n v="722114878"/>
    <x v="0"/>
    <x v="190"/>
    <x v="4"/>
    <n v="955.13"/>
    <x v="0"/>
    <x v="1"/>
    <x v="1"/>
  </r>
  <r>
    <x v="162"/>
    <s v="Paloma"/>
    <x v="162"/>
    <n v="707823231"/>
    <x v="2"/>
    <x v="592"/>
    <x v="23"/>
    <n v="1228.76"/>
    <x v="0"/>
    <x v="3"/>
    <x v="1"/>
  </r>
  <r>
    <x v="120"/>
    <s v="Cipriano"/>
    <x v="120"/>
    <n v="708260146"/>
    <x v="2"/>
    <x v="593"/>
    <x v="6"/>
    <n v="289.73"/>
    <x v="0"/>
    <x v="5"/>
    <x v="1"/>
  </r>
  <r>
    <x v="92"/>
    <s v="Aarón"/>
    <x v="92"/>
    <n v="701528957"/>
    <x v="1"/>
    <x v="332"/>
    <x v="22"/>
    <n v="1938.55"/>
    <x v="0"/>
    <x v="0"/>
    <x v="1"/>
  </r>
  <r>
    <x v="196"/>
    <s v="Primitivo"/>
    <x v="196"/>
    <n v="731359620"/>
    <x v="1"/>
    <x v="479"/>
    <x v="8"/>
    <n v="771.79"/>
    <x v="0"/>
    <x v="3"/>
    <x v="1"/>
  </r>
  <r>
    <x v="278"/>
    <s v="Anselmo"/>
    <x v="278"/>
    <n v="707111139"/>
    <x v="0"/>
    <x v="197"/>
    <x v="14"/>
    <n v="249.2"/>
    <x v="0"/>
    <x v="2"/>
    <x v="0"/>
  </r>
  <r>
    <x v="127"/>
    <s v="Rocío"/>
    <x v="127"/>
    <n v="712704910"/>
    <x v="0"/>
    <x v="461"/>
    <x v="12"/>
    <n v="438.5"/>
    <x v="0"/>
    <x v="1"/>
    <x v="0"/>
  </r>
  <r>
    <x v="356"/>
    <s v="Sabina"/>
    <x v="356"/>
    <n v="938130308"/>
    <x v="1"/>
    <x v="156"/>
    <x v="4"/>
    <n v="243.72"/>
    <x v="0"/>
    <x v="3"/>
    <x v="1"/>
  </r>
  <r>
    <x v="164"/>
    <s v="Aránzazu"/>
    <x v="164"/>
    <n v="679029843"/>
    <x v="2"/>
    <x v="14"/>
    <x v="14"/>
    <n v="478.24"/>
    <x v="0"/>
    <x v="2"/>
    <x v="1"/>
  </r>
  <r>
    <x v="16"/>
    <s v="Belén"/>
    <x v="16"/>
    <n v="739522597"/>
    <x v="0"/>
    <x v="12"/>
    <x v="9"/>
    <n v="149.61000000000001"/>
    <x v="0"/>
    <x v="1"/>
    <x v="1"/>
  </r>
  <r>
    <x v="333"/>
    <s v="Cristian"/>
    <x v="333"/>
    <n v="827325070"/>
    <x v="0"/>
    <x v="285"/>
    <x v="6"/>
    <n v="1690.94"/>
    <x v="0"/>
    <x v="3"/>
    <x v="0"/>
  </r>
  <r>
    <x v="83"/>
    <s v="Ema"/>
    <x v="83"/>
    <n v="745956596"/>
    <x v="0"/>
    <x v="403"/>
    <x v="19"/>
    <n v="401.4"/>
    <x v="0"/>
    <x v="2"/>
    <x v="0"/>
  </r>
  <r>
    <x v="373"/>
    <s v="Leonor"/>
    <x v="373"/>
    <n v="706232765"/>
    <x v="0"/>
    <x v="594"/>
    <x v="1"/>
    <n v="298.38"/>
    <x v="0"/>
    <x v="1"/>
    <x v="1"/>
  </r>
  <r>
    <x v="72"/>
    <s v="Enrique"/>
    <x v="72"/>
    <n v="713291022"/>
    <x v="2"/>
    <x v="595"/>
    <x v="2"/>
    <n v="1187.5"/>
    <x v="0"/>
    <x v="4"/>
    <x v="0"/>
  </r>
  <r>
    <x v="253"/>
    <s v="Lázaro"/>
    <x v="253"/>
    <n v="721073574"/>
    <x v="1"/>
    <x v="324"/>
    <x v="14"/>
    <n v="776.97"/>
    <x v="0"/>
    <x v="1"/>
    <x v="0"/>
  </r>
  <r>
    <x v="169"/>
    <s v="Eliseo"/>
    <x v="169"/>
    <n v="741006511"/>
    <x v="0"/>
    <x v="326"/>
    <x v="9"/>
    <n v="1455.1"/>
    <x v="0"/>
    <x v="2"/>
    <x v="0"/>
  </r>
  <r>
    <x v="304"/>
    <s v="Amarilis"/>
    <x v="304"/>
    <n v="714801888"/>
    <x v="2"/>
    <x v="446"/>
    <x v="9"/>
    <n v="633.62"/>
    <x v="1"/>
    <x v="3"/>
    <x v="1"/>
  </r>
  <r>
    <x v="439"/>
    <s v="Ágata"/>
    <x v="439"/>
    <n v="712187897"/>
    <x v="0"/>
    <x v="519"/>
    <x v="3"/>
    <n v="1171.05"/>
    <x v="0"/>
    <x v="2"/>
    <x v="0"/>
  </r>
  <r>
    <x v="9"/>
    <s v="Laura"/>
    <x v="9"/>
    <n v="735998025"/>
    <x v="0"/>
    <x v="369"/>
    <x v="6"/>
    <n v="1694.06"/>
    <x v="2"/>
    <x v="2"/>
    <x v="0"/>
  </r>
  <r>
    <x v="230"/>
    <s v="Adelaida"/>
    <x v="230"/>
    <n v="680373214"/>
    <x v="0"/>
    <x v="77"/>
    <x v="5"/>
    <n v="1605.24"/>
    <x v="0"/>
    <x v="2"/>
    <x v="1"/>
  </r>
  <r>
    <x v="177"/>
    <s v="Custodia"/>
    <x v="177"/>
    <n v="705676062"/>
    <x v="1"/>
    <x v="394"/>
    <x v="17"/>
    <n v="71.47"/>
    <x v="0"/>
    <x v="5"/>
    <x v="0"/>
  </r>
  <r>
    <x v="326"/>
    <s v="Luisa"/>
    <x v="326"/>
    <n v="741532244"/>
    <x v="0"/>
    <x v="266"/>
    <x v="1"/>
    <n v="164.27"/>
    <x v="0"/>
    <x v="0"/>
    <x v="0"/>
  </r>
  <r>
    <x v="132"/>
    <s v="Nacho"/>
    <x v="132"/>
    <n v="704058112"/>
    <x v="1"/>
    <x v="81"/>
    <x v="0"/>
    <n v="1889.82"/>
    <x v="0"/>
    <x v="3"/>
    <x v="0"/>
  </r>
  <r>
    <x v="315"/>
    <s v="Ainoa"/>
    <x v="315"/>
    <n v="624808343"/>
    <x v="1"/>
    <x v="431"/>
    <x v="11"/>
    <n v="787.17"/>
    <x v="0"/>
    <x v="4"/>
    <x v="1"/>
  </r>
  <r>
    <x v="254"/>
    <s v="Jose Ramón"/>
    <x v="254"/>
    <n v="745024306"/>
    <x v="0"/>
    <x v="143"/>
    <x v="20"/>
    <n v="1890.85"/>
    <x v="0"/>
    <x v="2"/>
    <x v="0"/>
  </r>
  <r>
    <x v="479"/>
    <s v="Carmen"/>
    <x v="479"/>
    <n v="925202711"/>
    <x v="1"/>
    <x v="193"/>
    <x v="22"/>
    <n v="1115.3599999999999"/>
    <x v="1"/>
    <x v="3"/>
    <x v="0"/>
  </r>
  <r>
    <x v="392"/>
    <s v="Delia"/>
    <x v="392"/>
    <n v="736625467"/>
    <x v="1"/>
    <x v="39"/>
    <x v="7"/>
    <n v="111.53"/>
    <x v="0"/>
    <x v="3"/>
    <x v="1"/>
  </r>
  <r>
    <x v="350"/>
    <s v="Aristides"/>
    <x v="350"/>
    <n v="897233546"/>
    <x v="0"/>
    <x v="211"/>
    <x v="19"/>
    <n v="1562.13"/>
    <x v="0"/>
    <x v="1"/>
    <x v="0"/>
  </r>
  <r>
    <x v="23"/>
    <s v="Maricela"/>
    <x v="23"/>
    <n v="740369847"/>
    <x v="1"/>
    <x v="20"/>
    <x v="9"/>
    <n v="758.75"/>
    <x v="2"/>
    <x v="3"/>
    <x v="1"/>
  </r>
  <r>
    <x v="414"/>
    <s v="César"/>
    <x v="414"/>
    <n v="895649355"/>
    <x v="1"/>
    <x v="596"/>
    <x v="7"/>
    <n v="1514.2"/>
    <x v="0"/>
    <x v="3"/>
    <x v="1"/>
  </r>
  <r>
    <x v="160"/>
    <s v="Leoncio"/>
    <x v="160"/>
    <n v="726605821"/>
    <x v="1"/>
    <x v="14"/>
    <x v="19"/>
    <n v="1597.77"/>
    <x v="2"/>
    <x v="3"/>
    <x v="0"/>
  </r>
  <r>
    <x v="489"/>
    <s v="Marisela"/>
    <x v="489"/>
    <n v="698355833"/>
    <x v="1"/>
    <x v="355"/>
    <x v="1"/>
    <n v="55.69"/>
    <x v="0"/>
    <x v="3"/>
    <x v="0"/>
  </r>
  <r>
    <x v="225"/>
    <s v="Maximiliano"/>
    <x v="225"/>
    <n v="644562274"/>
    <x v="0"/>
    <x v="525"/>
    <x v="1"/>
    <n v="1245.6600000000001"/>
    <x v="0"/>
    <x v="4"/>
    <x v="1"/>
  </r>
  <r>
    <x v="223"/>
    <s v="Baudelio"/>
    <x v="223"/>
    <n v="924134952"/>
    <x v="1"/>
    <x v="568"/>
    <x v="0"/>
    <n v="439.01"/>
    <x v="1"/>
    <x v="0"/>
    <x v="0"/>
  </r>
  <r>
    <x v="282"/>
    <s v="Rita"/>
    <x v="282"/>
    <n v="988674084"/>
    <x v="0"/>
    <x v="597"/>
    <x v="3"/>
    <n v="21.94"/>
    <x v="0"/>
    <x v="2"/>
    <x v="1"/>
  </r>
  <r>
    <x v="469"/>
    <s v="Andrés Felipe"/>
    <x v="469"/>
    <n v="986129822"/>
    <x v="0"/>
    <x v="37"/>
    <x v="14"/>
    <n v="1572.07"/>
    <x v="0"/>
    <x v="1"/>
    <x v="0"/>
  </r>
  <r>
    <x v="7"/>
    <s v="Primitiva"/>
    <x v="7"/>
    <n v="681249637"/>
    <x v="2"/>
    <x v="78"/>
    <x v="2"/>
    <n v="1520.98"/>
    <x v="0"/>
    <x v="3"/>
    <x v="1"/>
  </r>
  <r>
    <x v="231"/>
    <s v="Azucena"/>
    <x v="231"/>
    <n v="907022641"/>
    <x v="0"/>
    <x v="139"/>
    <x v="5"/>
    <n v="1871.5"/>
    <x v="0"/>
    <x v="4"/>
    <x v="0"/>
  </r>
  <r>
    <x v="111"/>
    <s v="Maximino"/>
    <x v="111"/>
    <n v="719370887"/>
    <x v="1"/>
    <x v="558"/>
    <x v="14"/>
    <n v="23.36"/>
    <x v="0"/>
    <x v="0"/>
    <x v="1"/>
  </r>
  <r>
    <x v="156"/>
    <s v="Nuria"/>
    <x v="156"/>
    <n v="719129176"/>
    <x v="1"/>
    <x v="125"/>
    <x v="5"/>
    <n v="119.52"/>
    <x v="0"/>
    <x v="0"/>
    <x v="0"/>
  </r>
  <r>
    <x v="490"/>
    <s v="Juan Pablo"/>
    <x v="490"/>
    <n v="715479467"/>
    <x v="1"/>
    <x v="13"/>
    <x v="4"/>
    <n v="768.94"/>
    <x v="1"/>
    <x v="1"/>
    <x v="1"/>
  </r>
  <r>
    <x v="107"/>
    <s v="Sandalio"/>
    <x v="107"/>
    <n v="744704520"/>
    <x v="0"/>
    <x v="598"/>
    <x v="19"/>
    <n v="1240.6199999999999"/>
    <x v="0"/>
    <x v="1"/>
    <x v="0"/>
  </r>
  <r>
    <x v="491"/>
    <s v="Lupe"/>
    <x v="491"/>
    <n v="954023587"/>
    <x v="1"/>
    <x v="260"/>
    <x v="5"/>
    <n v="67.56"/>
    <x v="0"/>
    <x v="1"/>
    <x v="1"/>
  </r>
  <r>
    <x v="170"/>
    <s v="Alejo"/>
    <x v="170"/>
    <n v="727278182"/>
    <x v="0"/>
    <x v="70"/>
    <x v="21"/>
    <n v="1694.45"/>
    <x v="2"/>
    <x v="3"/>
    <x v="1"/>
  </r>
  <r>
    <x v="289"/>
    <s v="Remigio"/>
    <x v="289"/>
    <n v="747208220"/>
    <x v="1"/>
    <x v="599"/>
    <x v="23"/>
    <n v="386.51"/>
    <x v="1"/>
    <x v="3"/>
    <x v="1"/>
  </r>
  <r>
    <x v="129"/>
    <s v="Jerónimo"/>
    <x v="129"/>
    <n v="653146228"/>
    <x v="1"/>
    <x v="82"/>
    <x v="12"/>
    <n v="851.4"/>
    <x v="0"/>
    <x v="3"/>
    <x v="0"/>
  </r>
  <r>
    <x v="203"/>
    <s v="Manu"/>
    <x v="203"/>
    <n v="739067408"/>
    <x v="0"/>
    <x v="600"/>
    <x v="12"/>
    <n v="234.62"/>
    <x v="2"/>
    <x v="2"/>
    <x v="1"/>
  </r>
  <r>
    <x v="241"/>
    <s v="Jaime"/>
    <x v="241"/>
    <n v="708355930"/>
    <x v="0"/>
    <x v="279"/>
    <x v="19"/>
    <n v="1403.22"/>
    <x v="0"/>
    <x v="5"/>
    <x v="0"/>
  </r>
  <r>
    <x v="188"/>
    <s v="Aitor"/>
    <x v="188"/>
    <n v="741044800"/>
    <x v="0"/>
    <x v="138"/>
    <x v="17"/>
    <n v="923.02"/>
    <x v="0"/>
    <x v="1"/>
    <x v="1"/>
  </r>
  <r>
    <x v="47"/>
    <s v="Nicodemo"/>
    <x v="47"/>
    <n v="706921192"/>
    <x v="2"/>
    <x v="601"/>
    <x v="19"/>
    <n v="1661.15"/>
    <x v="2"/>
    <x v="3"/>
    <x v="1"/>
  </r>
  <r>
    <x v="396"/>
    <s v="Cecilio"/>
    <x v="396"/>
    <n v="966229025"/>
    <x v="0"/>
    <x v="536"/>
    <x v="18"/>
    <n v="1251.8399999999999"/>
    <x v="0"/>
    <x v="2"/>
    <x v="0"/>
  </r>
  <r>
    <x v="492"/>
    <s v="Teófila"/>
    <x v="492"/>
    <n v="702219994"/>
    <x v="0"/>
    <x v="434"/>
    <x v="19"/>
    <n v="589.51"/>
    <x v="0"/>
    <x v="1"/>
    <x v="0"/>
  </r>
  <r>
    <x v="3"/>
    <s v="Basilio"/>
    <x v="3"/>
    <n v="720443658"/>
    <x v="0"/>
    <x v="417"/>
    <x v="3"/>
    <n v="224.63"/>
    <x v="0"/>
    <x v="3"/>
    <x v="0"/>
  </r>
  <r>
    <x v="223"/>
    <s v="Baudelio"/>
    <x v="223"/>
    <n v="924134952"/>
    <x v="1"/>
    <x v="204"/>
    <x v="0"/>
    <n v="395.2"/>
    <x v="0"/>
    <x v="3"/>
    <x v="0"/>
  </r>
  <r>
    <x v="165"/>
    <s v="Pancho"/>
    <x v="165"/>
    <n v="745695976"/>
    <x v="0"/>
    <x v="244"/>
    <x v="0"/>
    <n v="132.65"/>
    <x v="0"/>
    <x v="3"/>
    <x v="1"/>
  </r>
  <r>
    <x v="155"/>
    <s v="Cloe"/>
    <x v="155"/>
    <n v="951388515"/>
    <x v="0"/>
    <x v="288"/>
    <x v="9"/>
    <n v="963.89"/>
    <x v="0"/>
    <x v="3"/>
    <x v="1"/>
  </r>
  <r>
    <x v="60"/>
    <s v="Quirino"/>
    <x v="60"/>
    <n v="739112559"/>
    <x v="0"/>
    <x v="602"/>
    <x v="8"/>
    <n v="1010.44"/>
    <x v="0"/>
    <x v="2"/>
    <x v="1"/>
  </r>
  <r>
    <x v="67"/>
    <s v="Bernarda"/>
    <x v="67"/>
    <n v="747410141"/>
    <x v="0"/>
    <x v="403"/>
    <x v="2"/>
    <n v="780.81"/>
    <x v="0"/>
    <x v="1"/>
    <x v="1"/>
  </r>
  <r>
    <x v="170"/>
    <s v="Alejo"/>
    <x v="170"/>
    <n v="727278182"/>
    <x v="0"/>
    <x v="294"/>
    <x v="21"/>
    <n v="590.54999999999995"/>
    <x v="0"/>
    <x v="1"/>
    <x v="1"/>
  </r>
  <r>
    <x v="155"/>
    <s v="Cloe"/>
    <x v="155"/>
    <n v="951388515"/>
    <x v="0"/>
    <x v="45"/>
    <x v="9"/>
    <n v="157.47999999999999"/>
    <x v="1"/>
    <x v="1"/>
    <x v="0"/>
  </r>
  <r>
    <x v="208"/>
    <s v="Sarita"/>
    <x v="208"/>
    <n v="748297259"/>
    <x v="0"/>
    <x v="166"/>
    <x v="11"/>
    <n v="1433.14"/>
    <x v="0"/>
    <x v="1"/>
    <x v="0"/>
  </r>
  <r>
    <x v="487"/>
    <s v="Ileana"/>
    <x v="487"/>
    <n v="706544642"/>
    <x v="1"/>
    <x v="125"/>
    <x v="18"/>
    <n v="1184.6400000000001"/>
    <x v="0"/>
    <x v="4"/>
    <x v="0"/>
  </r>
  <r>
    <x v="86"/>
    <s v="Apolinar"/>
    <x v="86"/>
    <n v="825868533"/>
    <x v="1"/>
    <x v="590"/>
    <x v="21"/>
    <n v="1388.02"/>
    <x v="0"/>
    <x v="3"/>
    <x v="1"/>
  </r>
  <r>
    <x v="439"/>
    <s v="Ágata"/>
    <x v="439"/>
    <n v="712187897"/>
    <x v="0"/>
    <x v="326"/>
    <x v="3"/>
    <n v="1169.94"/>
    <x v="0"/>
    <x v="3"/>
    <x v="0"/>
  </r>
  <r>
    <x v="129"/>
    <s v="Jerónimo"/>
    <x v="129"/>
    <n v="653146228"/>
    <x v="1"/>
    <x v="579"/>
    <x v="12"/>
    <n v="1103.9100000000001"/>
    <x v="0"/>
    <x v="3"/>
    <x v="0"/>
  </r>
  <r>
    <x v="459"/>
    <s v="Victor Manuel"/>
    <x v="459"/>
    <n v="717669942"/>
    <x v="0"/>
    <x v="264"/>
    <x v="19"/>
    <n v="1973.63"/>
    <x v="0"/>
    <x v="1"/>
    <x v="0"/>
  </r>
  <r>
    <x v="290"/>
    <s v="Claudio"/>
    <x v="290"/>
    <n v="955471414"/>
    <x v="0"/>
    <x v="280"/>
    <x v="22"/>
    <n v="1985.19"/>
    <x v="0"/>
    <x v="3"/>
    <x v="1"/>
  </r>
  <r>
    <x v="187"/>
    <s v="Belen"/>
    <x v="187"/>
    <n v="741972258"/>
    <x v="0"/>
    <x v="243"/>
    <x v="21"/>
    <n v="178.93"/>
    <x v="0"/>
    <x v="3"/>
    <x v="0"/>
  </r>
  <r>
    <x v="217"/>
    <s v="Sarita"/>
    <x v="217"/>
    <n v="621081475"/>
    <x v="1"/>
    <x v="65"/>
    <x v="5"/>
    <n v="1656.12"/>
    <x v="1"/>
    <x v="3"/>
    <x v="0"/>
  </r>
  <r>
    <x v="184"/>
    <s v="Matilde"/>
    <x v="184"/>
    <n v="716908291"/>
    <x v="0"/>
    <x v="603"/>
    <x v="9"/>
    <n v="1639.67"/>
    <x v="0"/>
    <x v="4"/>
    <x v="0"/>
  </r>
  <r>
    <x v="2"/>
    <s v="Lupe"/>
    <x v="2"/>
    <n v="714510122"/>
    <x v="0"/>
    <x v="439"/>
    <x v="2"/>
    <n v="1606.89"/>
    <x v="0"/>
    <x v="2"/>
    <x v="1"/>
  </r>
  <r>
    <x v="47"/>
    <s v="Nicodemo"/>
    <x v="47"/>
    <n v="706921192"/>
    <x v="2"/>
    <x v="604"/>
    <x v="19"/>
    <n v="542.9"/>
    <x v="0"/>
    <x v="2"/>
    <x v="1"/>
  </r>
  <r>
    <x v="15"/>
    <s v="Amaya"/>
    <x v="15"/>
    <n v="870185749"/>
    <x v="0"/>
    <x v="164"/>
    <x v="2"/>
    <n v="409.79"/>
    <x v="0"/>
    <x v="1"/>
    <x v="1"/>
  </r>
  <r>
    <x v="352"/>
    <s v="Concepción"/>
    <x v="352"/>
    <n v="717920847"/>
    <x v="0"/>
    <x v="76"/>
    <x v="7"/>
    <n v="621.88"/>
    <x v="0"/>
    <x v="2"/>
    <x v="1"/>
  </r>
  <r>
    <x v="69"/>
    <s v="María Pilar"/>
    <x v="69"/>
    <n v="907777259"/>
    <x v="0"/>
    <x v="267"/>
    <x v="6"/>
    <n v="560.08000000000004"/>
    <x v="1"/>
    <x v="0"/>
    <x v="0"/>
  </r>
  <r>
    <x v="233"/>
    <s v="Narciso"/>
    <x v="233"/>
    <n v="707714744"/>
    <x v="2"/>
    <x v="48"/>
    <x v="9"/>
    <n v="669.98"/>
    <x v="1"/>
    <x v="2"/>
    <x v="0"/>
  </r>
  <r>
    <x v="419"/>
    <s v="Vera"/>
    <x v="419"/>
    <n v="660996978"/>
    <x v="1"/>
    <x v="590"/>
    <x v="3"/>
    <n v="1880.01"/>
    <x v="0"/>
    <x v="1"/>
    <x v="1"/>
  </r>
  <r>
    <x v="493"/>
    <s v="Tere"/>
    <x v="493"/>
    <n v="734558868"/>
    <x v="0"/>
    <x v="576"/>
    <x v="7"/>
    <n v="1904.02"/>
    <x v="1"/>
    <x v="2"/>
    <x v="1"/>
  </r>
  <r>
    <x v="470"/>
    <s v="Dan"/>
    <x v="470"/>
    <n v="739254068"/>
    <x v="1"/>
    <x v="224"/>
    <x v="7"/>
    <n v="1790.43"/>
    <x v="0"/>
    <x v="3"/>
    <x v="0"/>
  </r>
  <r>
    <x v="94"/>
    <s v="Martín"/>
    <x v="94"/>
    <n v="730582836"/>
    <x v="1"/>
    <x v="343"/>
    <x v="9"/>
    <n v="232.33"/>
    <x v="0"/>
    <x v="3"/>
    <x v="0"/>
  </r>
  <r>
    <x v="136"/>
    <s v="Nilda"/>
    <x v="136"/>
    <n v="992824041"/>
    <x v="2"/>
    <x v="499"/>
    <x v="20"/>
    <n v="1671.44"/>
    <x v="0"/>
    <x v="3"/>
    <x v="0"/>
  </r>
  <r>
    <x v="169"/>
    <s v="Eliseo"/>
    <x v="169"/>
    <n v="741006511"/>
    <x v="0"/>
    <x v="317"/>
    <x v="9"/>
    <n v="1199.97"/>
    <x v="0"/>
    <x v="2"/>
    <x v="1"/>
  </r>
  <r>
    <x v="494"/>
    <s v="Emelina"/>
    <x v="494"/>
    <n v="707412179"/>
    <x v="1"/>
    <x v="605"/>
    <x v="4"/>
    <n v="1222.56"/>
    <x v="0"/>
    <x v="3"/>
    <x v="1"/>
  </r>
  <r>
    <x v="494"/>
    <s v="Emelina"/>
    <x v="494"/>
    <n v="707412179"/>
    <x v="1"/>
    <x v="296"/>
    <x v="4"/>
    <n v="1542.98"/>
    <x v="0"/>
    <x v="3"/>
    <x v="0"/>
  </r>
  <r>
    <x v="172"/>
    <s v="Arsenio"/>
    <x v="172"/>
    <n v="710606110"/>
    <x v="1"/>
    <x v="606"/>
    <x v="5"/>
    <n v="1838.7"/>
    <x v="0"/>
    <x v="3"/>
    <x v="0"/>
  </r>
  <r>
    <x v="186"/>
    <s v="Mohamed"/>
    <x v="186"/>
    <n v="741558653"/>
    <x v="0"/>
    <x v="404"/>
    <x v="3"/>
    <n v="1651.12"/>
    <x v="0"/>
    <x v="1"/>
    <x v="1"/>
  </r>
  <r>
    <x v="201"/>
    <s v="Azucena"/>
    <x v="201"/>
    <n v="709339074"/>
    <x v="0"/>
    <x v="607"/>
    <x v="12"/>
    <n v="1063.45"/>
    <x v="0"/>
    <x v="1"/>
    <x v="0"/>
  </r>
  <r>
    <x v="357"/>
    <s v="Almudena"/>
    <x v="357"/>
    <n v="742320022"/>
    <x v="0"/>
    <x v="608"/>
    <x v="17"/>
    <n v="89.84"/>
    <x v="0"/>
    <x v="5"/>
    <x v="0"/>
  </r>
  <r>
    <x v="371"/>
    <s v="Seve"/>
    <x v="371"/>
    <n v="722844692"/>
    <x v="1"/>
    <x v="609"/>
    <x v="15"/>
    <n v="781.01"/>
    <x v="0"/>
    <x v="3"/>
    <x v="1"/>
  </r>
  <r>
    <x v="495"/>
    <s v="Abril"/>
    <x v="495"/>
    <n v="962917290"/>
    <x v="0"/>
    <x v="297"/>
    <x v="22"/>
    <n v="264.22000000000003"/>
    <x v="1"/>
    <x v="3"/>
    <x v="0"/>
  </r>
  <r>
    <x v="269"/>
    <s v="Coral"/>
    <x v="269"/>
    <n v="738803125"/>
    <x v="0"/>
    <x v="501"/>
    <x v="1"/>
    <n v="680.66"/>
    <x v="0"/>
    <x v="2"/>
    <x v="1"/>
  </r>
  <r>
    <x v="440"/>
    <s v="Benigna"/>
    <x v="440"/>
    <n v="713916093"/>
    <x v="0"/>
    <x v="73"/>
    <x v="4"/>
    <n v="864.87"/>
    <x v="0"/>
    <x v="1"/>
    <x v="0"/>
  </r>
  <r>
    <x v="496"/>
    <s v="Sergio"/>
    <x v="496"/>
    <n v="725811590"/>
    <x v="0"/>
    <x v="342"/>
    <x v="7"/>
    <n v="1003.87"/>
    <x v="0"/>
    <x v="1"/>
    <x v="0"/>
  </r>
  <r>
    <x v="415"/>
    <s v="Octavio"/>
    <x v="415"/>
    <n v="714491763"/>
    <x v="1"/>
    <x v="610"/>
    <x v="11"/>
    <n v="1212.8900000000001"/>
    <x v="0"/>
    <x v="3"/>
    <x v="0"/>
  </r>
  <r>
    <x v="360"/>
    <s v="Guillermo"/>
    <x v="360"/>
    <n v="735688259"/>
    <x v="0"/>
    <x v="374"/>
    <x v="20"/>
    <n v="1603.81"/>
    <x v="0"/>
    <x v="3"/>
    <x v="1"/>
  </r>
  <r>
    <x v="133"/>
    <s v="Gaspar"/>
    <x v="133"/>
    <n v="734216317"/>
    <x v="0"/>
    <x v="24"/>
    <x v="14"/>
    <n v="1716.92"/>
    <x v="0"/>
    <x v="2"/>
    <x v="1"/>
  </r>
  <r>
    <x v="398"/>
    <s v="Armando"/>
    <x v="398"/>
    <n v="743281688"/>
    <x v="1"/>
    <x v="239"/>
    <x v="6"/>
    <n v="1868.49"/>
    <x v="0"/>
    <x v="1"/>
    <x v="0"/>
  </r>
  <r>
    <x v="18"/>
    <s v="Carmina"/>
    <x v="18"/>
    <n v="879596240"/>
    <x v="2"/>
    <x v="322"/>
    <x v="3"/>
    <n v="1575.57"/>
    <x v="0"/>
    <x v="1"/>
    <x v="0"/>
  </r>
  <r>
    <x v="393"/>
    <s v="Alondra"/>
    <x v="393"/>
    <n v="715969206"/>
    <x v="1"/>
    <x v="474"/>
    <x v="1"/>
    <n v="1549.19"/>
    <x v="0"/>
    <x v="3"/>
    <x v="1"/>
  </r>
  <r>
    <x v="118"/>
    <s v="Vidal"/>
    <x v="118"/>
    <n v="749984420"/>
    <x v="0"/>
    <x v="115"/>
    <x v="18"/>
    <n v="1437.66"/>
    <x v="0"/>
    <x v="2"/>
    <x v="1"/>
  </r>
  <r>
    <x v="236"/>
    <s v="María Carmen"/>
    <x v="236"/>
    <n v="738611121"/>
    <x v="0"/>
    <x v="611"/>
    <x v="16"/>
    <n v="179.38"/>
    <x v="1"/>
    <x v="2"/>
    <x v="1"/>
  </r>
  <r>
    <x v="497"/>
    <s v="Obdulia"/>
    <x v="497"/>
    <n v="718769258"/>
    <x v="1"/>
    <x v="80"/>
    <x v="11"/>
    <n v="782.76"/>
    <x v="0"/>
    <x v="4"/>
    <x v="0"/>
  </r>
  <r>
    <x v="41"/>
    <s v="Jaime"/>
    <x v="41"/>
    <n v="733805530"/>
    <x v="1"/>
    <x v="525"/>
    <x v="16"/>
    <n v="777.61"/>
    <x v="0"/>
    <x v="3"/>
    <x v="1"/>
  </r>
  <r>
    <x v="231"/>
    <s v="Azucena"/>
    <x v="231"/>
    <n v="907022641"/>
    <x v="0"/>
    <x v="203"/>
    <x v="5"/>
    <n v="1330.77"/>
    <x v="0"/>
    <x v="4"/>
    <x v="1"/>
  </r>
  <r>
    <x v="277"/>
    <s v="Paz"/>
    <x v="277"/>
    <n v="905498813"/>
    <x v="0"/>
    <x v="258"/>
    <x v="20"/>
    <n v="226.33"/>
    <x v="0"/>
    <x v="2"/>
    <x v="0"/>
  </r>
  <r>
    <x v="29"/>
    <s v="Sebastián"/>
    <x v="29"/>
    <n v="727899933"/>
    <x v="1"/>
    <x v="149"/>
    <x v="8"/>
    <n v="1937.61"/>
    <x v="0"/>
    <x v="3"/>
    <x v="0"/>
  </r>
  <r>
    <x v="390"/>
    <s v="Socorro"/>
    <x v="390"/>
    <n v="879206409"/>
    <x v="0"/>
    <x v="148"/>
    <x v="1"/>
    <n v="66.95"/>
    <x v="0"/>
    <x v="2"/>
    <x v="0"/>
  </r>
  <r>
    <x v="386"/>
    <s v="Rico"/>
    <x v="386"/>
    <n v="748518150"/>
    <x v="1"/>
    <x v="602"/>
    <x v="19"/>
    <n v="1646.6"/>
    <x v="0"/>
    <x v="0"/>
    <x v="1"/>
  </r>
  <r>
    <x v="333"/>
    <s v="Cristian"/>
    <x v="333"/>
    <n v="827325070"/>
    <x v="0"/>
    <x v="612"/>
    <x v="6"/>
    <n v="707.13"/>
    <x v="0"/>
    <x v="1"/>
    <x v="0"/>
  </r>
  <r>
    <x v="403"/>
    <s v="Armida"/>
    <x v="403"/>
    <n v="942844383"/>
    <x v="0"/>
    <x v="555"/>
    <x v="13"/>
    <n v="291.86"/>
    <x v="0"/>
    <x v="2"/>
    <x v="0"/>
  </r>
  <r>
    <x v="141"/>
    <s v="Brunilda"/>
    <x v="141"/>
    <n v="652976786"/>
    <x v="1"/>
    <x v="513"/>
    <x v="8"/>
    <n v="718.27"/>
    <x v="1"/>
    <x v="3"/>
    <x v="0"/>
  </r>
  <r>
    <x v="303"/>
    <s v="Álvaro"/>
    <x v="303"/>
    <n v="742903473"/>
    <x v="0"/>
    <x v="613"/>
    <x v="2"/>
    <n v="156.19999999999999"/>
    <x v="1"/>
    <x v="1"/>
    <x v="0"/>
  </r>
  <r>
    <x v="467"/>
    <s v="Ascensión"/>
    <x v="467"/>
    <n v="812915735"/>
    <x v="0"/>
    <x v="155"/>
    <x v="4"/>
    <n v="1477.12"/>
    <x v="1"/>
    <x v="1"/>
    <x v="1"/>
  </r>
  <r>
    <x v="116"/>
    <s v="Ramona"/>
    <x v="116"/>
    <n v="622023254"/>
    <x v="0"/>
    <x v="286"/>
    <x v="13"/>
    <n v="396.9"/>
    <x v="0"/>
    <x v="0"/>
    <x v="0"/>
  </r>
  <r>
    <x v="222"/>
    <s v="Andrea"/>
    <x v="222"/>
    <n v="740872409"/>
    <x v="1"/>
    <x v="614"/>
    <x v="13"/>
    <n v="1080.3"/>
    <x v="0"/>
    <x v="3"/>
    <x v="0"/>
  </r>
  <r>
    <x v="498"/>
    <s v="Blas"/>
    <x v="498"/>
    <n v="701994687"/>
    <x v="2"/>
    <x v="254"/>
    <x v="23"/>
    <n v="1239.4100000000001"/>
    <x v="0"/>
    <x v="2"/>
    <x v="0"/>
  </r>
  <r>
    <x v="182"/>
    <s v="Wálter"/>
    <x v="182"/>
    <n v="737403719"/>
    <x v="1"/>
    <x v="615"/>
    <x v="17"/>
    <n v="1153.67"/>
    <x v="0"/>
    <x v="3"/>
    <x v="1"/>
  </r>
  <r>
    <x v="486"/>
    <s v="Emigdio"/>
    <x v="486"/>
    <n v="724781608"/>
    <x v="0"/>
    <x v="600"/>
    <x v="11"/>
    <n v="614.58000000000004"/>
    <x v="0"/>
    <x v="3"/>
    <x v="0"/>
  </r>
  <r>
    <x v="284"/>
    <s v="Gonzalo"/>
    <x v="284"/>
    <n v="701325298"/>
    <x v="0"/>
    <x v="590"/>
    <x v="7"/>
    <n v="236.24"/>
    <x v="0"/>
    <x v="2"/>
    <x v="1"/>
  </r>
  <r>
    <x v="12"/>
    <s v="Custodia"/>
    <x v="12"/>
    <n v="734311637"/>
    <x v="0"/>
    <x v="124"/>
    <x v="7"/>
    <n v="11.14"/>
    <x v="0"/>
    <x v="4"/>
    <x v="0"/>
  </r>
  <r>
    <x v="264"/>
    <s v="Raimundo"/>
    <x v="264"/>
    <n v="731372618"/>
    <x v="0"/>
    <x v="616"/>
    <x v="2"/>
    <n v="587.08000000000004"/>
    <x v="0"/>
    <x v="2"/>
    <x v="0"/>
  </r>
  <r>
    <x v="192"/>
    <s v="Nayara"/>
    <x v="192"/>
    <n v="725966550"/>
    <x v="0"/>
    <x v="617"/>
    <x v="6"/>
    <n v="1603.81"/>
    <x v="0"/>
    <x v="0"/>
    <x v="0"/>
  </r>
  <r>
    <x v="128"/>
    <s v="Dorotea"/>
    <x v="128"/>
    <n v="710265150"/>
    <x v="1"/>
    <x v="91"/>
    <x v="19"/>
    <n v="107.62"/>
    <x v="0"/>
    <x v="4"/>
    <x v="1"/>
  </r>
  <r>
    <x v="19"/>
    <s v="Che"/>
    <x v="19"/>
    <n v="719563621"/>
    <x v="1"/>
    <x v="618"/>
    <x v="11"/>
    <n v="1573.66"/>
    <x v="0"/>
    <x v="5"/>
    <x v="0"/>
  </r>
  <r>
    <x v="293"/>
    <s v="Toni"/>
    <x v="293"/>
    <n v="869663629"/>
    <x v="0"/>
    <x v="33"/>
    <x v="18"/>
    <n v="715.36"/>
    <x v="0"/>
    <x v="0"/>
    <x v="1"/>
  </r>
  <r>
    <x v="141"/>
    <s v="Brunilda"/>
    <x v="141"/>
    <n v="652976786"/>
    <x v="1"/>
    <x v="225"/>
    <x v="8"/>
    <n v="1258.67"/>
    <x v="2"/>
    <x v="2"/>
    <x v="0"/>
  </r>
  <r>
    <x v="60"/>
    <s v="Quirino"/>
    <x v="60"/>
    <n v="739112559"/>
    <x v="0"/>
    <x v="619"/>
    <x v="8"/>
    <n v="698.74"/>
    <x v="0"/>
    <x v="2"/>
    <x v="1"/>
  </r>
  <r>
    <x v="313"/>
    <s v="Alonso"/>
    <x v="313"/>
    <n v="677172506"/>
    <x v="0"/>
    <x v="620"/>
    <x v="3"/>
    <n v="730.78"/>
    <x v="0"/>
    <x v="1"/>
    <x v="1"/>
  </r>
  <r>
    <x v="129"/>
    <s v="Jerónimo"/>
    <x v="129"/>
    <n v="653146228"/>
    <x v="1"/>
    <x v="621"/>
    <x v="12"/>
    <n v="836.61"/>
    <x v="0"/>
    <x v="0"/>
    <x v="0"/>
  </r>
  <r>
    <x v="405"/>
    <s v="Gil"/>
    <x v="405"/>
    <n v="737928942"/>
    <x v="0"/>
    <x v="230"/>
    <x v="2"/>
    <n v="1726.89"/>
    <x v="0"/>
    <x v="1"/>
    <x v="1"/>
  </r>
  <r>
    <x v="316"/>
    <s v="Samanta"/>
    <x v="316"/>
    <n v="615926523"/>
    <x v="0"/>
    <x v="577"/>
    <x v="15"/>
    <n v="382.35"/>
    <x v="0"/>
    <x v="1"/>
    <x v="1"/>
  </r>
  <r>
    <x v="0"/>
    <s v="Heliodoro"/>
    <x v="0"/>
    <n v="635181298"/>
    <x v="0"/>
    <x v="78"/>
    <x v="0"/>
    <n v="1521.19"/>
    <x v="0"/>
    <x v="2"/>
    <x v="0"/>
  </r>
  <r>
    <x v="165"/>
    <s v="Pancho"/>
    <x v="165"/>
    <n v="745695976"/>
    <x v="0"/>
    <x v="125"/>
    <x v="0"/>
    <n v="567.41999999999996"/>
    <x v="2"/>
    <x v="3"/>
    <x v="1"/>
  </r>
  <r>
    <x v="239"/>
    <s v="Estela"/>
    <x v="239"/>
    <n v="722992018"/>
    <x v="0"/>
    <x v="622"/>
    <x v="12"/>
    <n v="244.22"/>
    <x v="0"/>
    <x v="2"/>
    <x v="0"/>
  </r>
  <r>
    <x v="499"/>
    <s v="Ulises"/>
    <x v="499"/>
    <n v="749856245"/>
    <x v="0"/>
    <x v="261"/>
    <x v="15"/>
    <n v="492.61"/>
    <x v="2"/>
    <x v="2"/>
    <x v="0"/>
  </r>
  <r>
    <x v="454"/>
    <s v="Verónica"/>
    <x v="454"/>
    <n v="731576543"/>
    <x v="0"/>
    <x v="225"/>
    <x v="13"/>
    <n v="366.65"/>
    <x v="0"/>
    <x v="3"/>
    <x v="0"/>
  </r>
  <r>
    <x v="500"/>
    <s v="Borja"/>
    <x v="500"/>
    <n v="746674783"/>
    <x v="0"/>
    <x v="466"/>
    <x v="1"/>
    <n v="955.68"/>
    <x v="0"/>
    <x v="2"/>
    <x v="1"/>
  </r>
  <r>
    <x v="9"/>
    <s v="Laura"/>
    <x v="9"/>
    <n v="735998025"/>
    <x v="0"/>
    <x v="447"/>
    <x v="6"/>
    <n v="566.70000000000005"/>
    <x v="0"/>
    <x v="1"/>
    <x v="0"/>
  </r>
  <r>
    <x v="366"/>
    <s v="Nydia"/>
    <x v="366"/>
    <n v="688673130"/>
    <x v="1"/>
    <x v="623"/>
    <x v="23"/>
    <n v="1264.71"/>
    <x v="0"/>
    <x v="2"/>
    <x v="1"/>
  </r>
  <r>
    <x v="82"/>
    <s v="José Luis"/>
    <x v="82"/>
    <n v="703546596"/>
    <x v="1"/>
    <x v="14"/>
    <x v="9"/>
    <n v="1883.16"/>
    <x v="0"/>
    <x v="0"/>
    <x v="0"/>
  </r>
  <r>
    <x v="26"/>
    <s v="Isaías"/>
    <x v="26"/>
    <n v="892859188"/>
    <x v="0"/>
    <x v="203"/>
    <x v="13"/>
    <n v="1400.62"/>
    <x v="0"/>
    <x v="3"/>
    <x v="1"/>
  </r>
  <r>
    <x v="125"/>
    <s v="Toño"/>
    <x v="125"/>
    <n v="722621294"/>
    <x v="0"/>
    <x v="624"/>
    <x v="2"/>
    <n v="1552.81"/>
    <x v="0"/>
    <x v="0"/>
    <x v="0"/>
  </r>
  <r>
    <x v="413"/>
    <s v="Tadeo"/>
    <x v="413"/>
    <n v="865720278"/>
    <x v="0"/>
    <x v="526"/>
    <x v="7"/>
    <n v="589.49"/>
    <x v="0"/>
    <x v="1"/>
    <x v="1"/>
  </r>
  <r>
    <x v="76"/>
    <s v="Juan Pablo"/>
    <x v="76"/>
    <n v="866148409"/>
    <x v="0"/>
    <x v="144"/>
    <x v="16"/>
    <n v="1556.01"/>
    <x v="0"/>
    <x v="2"/>
    <x v="1"/>
  </r>
  <r>
    <x v="203"/>
    <s v="Manu"/>
    <x v="203"/>
    <n v="739067408"/>
    <x v="0"/>
    <x v="611"/>
    <x v="12"/>
    <n v="1745.36"/>
    <x v="0"/>
    <x v="3"/>
    <x v="1"/>
  </r>
  <r>
    <x v="439"/>
    <s v="Ágata"/>
    <x v="439"/>
    <n v="712187897"/>
    <x v="0"/>
    <x v="579"/>
    <x v="3"/>
    <n v="1606.37"/>
    <x v="0"/>
    <x v="5"/>
    <x v="1"/>
  </r>
  <r>
    <x v="219"/>
    <s v="Perlita"/>
    <x v="219"/>
    <n v="690754330"/>
    <x v="0"/>
    <x v="254"/>
    <x v="4"/>
    <n v="165.17"/>
    <x v="2"/>
    <x v="2"/>
    <x v="0"/>
  </r>
  <r>
    <x v="41"/>
    <s v="Jaime"/>
    <x v="41"/>
    <n v="733805530"/>
    <x v="1"/>
    <x v="625"/>
    <x v="16"/>
    <n v="841.57"/>
    <x v="0"/>
    <x v="3"/>
    <x v="1"/>
  </r>
  <r>
    <x v="161"/>
    <s v="Saturnino"/>
    <x v="161"/>
    <n v="705473147"/>
    <x v="0"/>
    <x v="298"/>
    <x v="19"/>
    <n v="137.79"/>
    <x v="0"/>
    <x v="3"/>
    <x v="0"/>
  </r>
  <r>
    <x v="501"/>
    <s v="Nicolás"/>
    <x v="501"/>
    <n v="653035081"/>
    <x v="0"/>
    <x v="35"/>
    <x v="14"/>
    <n v="1258.08"/>
    <x v="0"/>
    <x v="2"/>
    <x v="1"/>
  </r>
  <r>
    <x v="253"/>
    <s v="Lázaro"/>
    <x v="253"/>
    <n v="721073574"/>
    <x v="1"/>
    <x v="80"/>
    <x v="14"/>
    <n v="1615.8"/>
    <x v="0"/>
    <x v="4"/>
    <x v="1"/>
  </r>
  <r>
    <x v="320"/>
    <s v="Máximo"/>
    <x v="320"/>
    <n v="676942883"/>
    <x v="0"/>
    <x v="10"/>
    <x v="7"/>
    <n v="1464.64"/>
    <x v="0"/>
    <x v="2"/>
    <x v="1"/>
  </r>
  <r>
    <x v="307"/>
    <s v="Morena"/>
    <x v="307"/>
    <n v="746921271"/>
    <x v="1"/>
    <x v="531"/>
    <x v="17"/>
    <n v="569.49"/>
    <x v="0"/>
    <x v="1"/>
    <x v="0"/>
  </r>
  <r>
    <x v="363"/>
    <s v="Santiago"/>
    <x v="363"/>
    <n v="748025884"/>
    <x v="1"/>
    <x v="196"/>
    <x v="1"/>
    <n v="609"/>
    <x v="1"/>
    <x v="1"/>
    <x v="1"/>
  </r>
  <r>
    <x v="404"/>
    <s v="Ciríaco"/>
    <x v="404"/>
    <n v="915781255"/>
    <x v="2"/>
    <x v="130"/>
    <x v="4"/>
    <n v="1988.93"/>
    <x v="0"/>
    <x v="4"/>
    <x v="1"/>
  </r>
  <r>
    <x v="317"/>
    <s v="María Manuela"/>
    <x v="317"/>
    <n v="737214224"/>
    <x v="0"/>
    <x v="51"/>
    <x v="20"/>
    <n v="345.85"/>
    <x v="0"/>
    <x v="1"/>
    <x v="1"/>
  </r>
  <r>
    <x v="43"/>
    <s v="Xiomara"/>
    <x v="43"/>
    <n v="965928716"/>
    <x v="0"/>
    <x v="236"/>
    <x v="5"/>
    <n v="1404.87"/>
    <x v="0"/>
    <x v="2"/>
    <x v="0"/>
  </r>
  <r>
    <x v="170"/>
    <s v="Alejo"/>
    <x v="170"/>
    <n v="727278182"/>
    <x v="0"/>
    <x v="77"/>
    <x v="21"/>
    <n v="1177.51"/>
    <x v="0"/>
    <x v="3"/>
    <x v="0"/>
  </r>
  <r>
    <x v="186"/>
    <s v="Mohamed"/>
    <x v="186"/>
    <n v="741558653"/>
    <x v="0"/>
    <x v="374"/>
    <x v="3"/>
    <n v="1583.38"/>
    <x v="0"/>
    <x v="1"/>
    <x v="1"/>
  </r>
  <r>
    <x v="431"/>
    <s v="Pánfilo"/>
    <x v="431"/>
    <n v="947659636"/>
    <x v="1"/>
    <x v="126"/>
    <x v="23"/>
    <n v="1251.55"/>
    <x v="2"/>
    <x v="3"/>
    <x v="1"/>
  </r>
  <r>
    <x v="459"/>
    <s v="Victor Manuel"/>
    <x v="459"/>
    <n v="717669942"/>
    <x v="0"/>
    <x v="429"/>
    <x v="19"/>
    <n v="1958.07"/>
    <x v="0"/>
    <x v="1"/>
    <x v="1"/>
  </r>
  <r>
    <x v="86"/>
    <s v="Apolinar"/>
    <x v="86"/>
    <n v="825868533"/>
    <x v="1"/>
    <x v="579"/>
    <x v="21"/>
    <n v="1832.81"/>
    <x v="0"/>
    <x v="3"/>
    <x v="1"/>
  </r>
  <r>
    <x v="204"/>
    <s v="Bibiana"/>
    <x v="204"/>
    <n v="733233840"/>
    <x v="0"/>
    <x v="189"/>
    <x v="14"/>
    <n v="87.99"/>
    <x v="0"/>
    <x v="2"/>
    <x v="0"/>
  </r>
  <r>
    <x v="326"/>
    <s v="Luisa"/>
    <x v="326"/>
    <n v="741532244"/>
    <x v="0"/>
    <x v="312"/>
    <x v="1"/>
    <n v="1009.89"/>
    <x v="0"/>
    <x v="2"/>
    <x v="1"/>
  </r>
  <r>
    <x v="275"/>
    <s v="María"/>
    <x v="275"/>
    <n v="919457468"/>
    <x v="0"/>
    <x v="163"/>
    <x v="10"/>
    <n v="658"/>
    <x v="0"/>
    <x v="2"/>
    <x v="0"/>
  </r>
  <r>
    <x v="432"/>
    <s v="Aurora"/>
    <x v="432"/>
    <n v="809782522"/>
    <x v="0"/>
    <x v="273"/>
    <x v="0"/>
    <n v="310.11"/>
    <x v="2"/>
    <x v="1"/>
    <x v="1"/>
  </r>
  <r>
    <x v="384"/>
    <s v="Teodoro"/>
    <x v="384"/>
    <n v="731230632"/>
    <x v="0"/>
    <x v="482"/>
    <x v="14"/>
    <n v="1204.18"/>
    <x v="0"/>
    <x v="2"/>
    <x v="0"/>
  </r>
  <r>
    <x v="426"/>
    <s v="Sebastian"/>
    <x v="426"/>
    <n v="899491733"/>
    <x v="0"/>
    <x v="620"/>
    <x v="18"/>
    <n v="1220.6600000000001"/>
    <x v="0"/>
    <x v="2"/>
    <x v="0"/>
  </r>
  <r>
    <x v="198"/>
    <s v="Ligia"/>
    <x v="198"/>
    <n v="720195198"/>
    <x v="1"/>
    <x v="626"/>
    <x v="18"/>
    <n v="926.66"/>
    <x v="0"/>
    <x v="1"/>
    <x v="0"/>
  </r>
  <r>
    <x v="16"/>
    <s v="Belén"/>
    <x v="16"/>
    <n v="739522597"/>
    <x v="0"/>
    <x v="255"/>
    <x v="9"/>
    <n v="780.78"/>
    <x v="0"/>
    <x v="2"/>
    <x v="1"/>
  </r>
  <r>
    <x v="189"/>
    <s v="Reina"/>
    <x v="189"/>
    <n v="705449727"/>
    <x v="0"/>
    <x v="407"/>
    <x v="7"/>
    <n v="589.13"/>
    <x v="0"/>
    <x v="1"/>
    <x v="0"/>
  </r>
  <r>
    <x v="419"/>
    <s v="Vera"/>
    <x v="419"/>
    <n v="660996978"/>
    <x v="1"/>
    <x v="604"/>
    <x v="3"/>
    <n v="1599.08"/>
    <x v="0"/>
    <x v="3"/>
    <x v="1"/>
  </r>
  <r>
    <x v="365"/>
    <s v="Fanny"/>
    <x v="365"/>
    <n v="974043470"/>
    <x v="1"/>
    <x v="359"/>
    <x v="1"/>
    <n v="1826.62"/>
    <x v="2"/>
    <x v="4"/>
    <x v="0"/>
  </r>
  <r>
    <x v="502"/>
    <s v="Dora"/>
    <x v="502"/>
    <n v="664931241"/>
    <x v="0"/>
    <x v="67"/>
    <x v="11"/>
    <n v="1922.22"/>
    <x v="0"/>
    <x v="2"/>
    <x v="1"/>
  </r>
  <r>
    <x v="330"/>
    <s v="Juan Pablo"/>
    <x v="330"/>
    <n v="694844051"/>
    <x v="0"/>
    <x v="174"/>
    <x v="5"/>
    <n v="446.96"/>
    <x v="0"/>
    <x v="4"/>
    <x v="1"/>
  </r>
  <r>
    <x v="327"/>
    <s v="Román"/>
    <x v="327"/>
    <n v="730150105"/>
    <x v="0"/>
    <x v="442"/>
    <x v="16"/>
    <n v="13.32"/>
    <x v="0"/>
    <x v="2"/>
    <x v="1"/>
  </r>
  <r>
    <x v="122"/>
    <s v="Sol"/>
    <x v="122"/>
    <n v="911729847"/>
    <x v="1"/>
    <x v="129"/>
    <x v="23"/>
    <n v="1593.29"/>
    <x v="0"/>
    <x v="4"/>
    <x v="0"/>
  </r>
  <r>
    <x v="503"/>
    <s v="Felix"/>
    <x v="503"/>
    <n v="883892125"/>
    <x v="0"/>
    <x v="99"/>
    <x v="13"/>
    <n v="170.11"/>
    <x v="0"/>
    <x v="2"/>
    <x v="1"/>
  </r>
  <r>
    <x v="344"/>
    <s v="Omar"/>
    <x v="344"/>
    <n v="840470316"/>
    <x v="1"/>
    <x v="434"/>
    <x v="0"/>
    <n v="506.02"/>
    <x v="1"/>
    <x v="3"/>
    <x v="0"/>
  </r>
  <r>
    <x v="100"/>
    <s v="Jose Miguel"/>
    <x v="100"/>
    <n v="717372411"/>
    <x v="0"/>
    <x v="65"/>
    <x v="3"/>
    <n v="735.23"/>
    <x v="1"/>
    <x v="1"/>
    <x v="1"/>
  </r>
  <r>
    <x v="207"/>
    <s v="Carmela"/>
    <x v="207"/>
    <n v="731844990"/>
    <x v="1"/>
    <x v="211"/>
    <x v="3"/>
    <n v="705.86"/>
    <x v="0"/>
    <x v="3"/>
    <x v="0"/>
  </r>
  <r>
    <x v="433"/>
    <s v="Anselmo"/>
    <x v="433"/>
    <n v="701538350"/>
    <x v="0"/>
    <x v="522"/>
    <x v="0"/>
    <n v="306.12"/>
    <x v="0"/>
    <x v="2"/>
    <x v="1"/>
  </r>
  <r>
    <x v="114"/>
    <s v="Heraclio"/>
    <x v="114"/>
    <n v="727937300"/>
    <x v="0"/>
    <x v="141"/>
    <x v="10"/>
    <n v="947.51"/>
    <x v="0"/>
    <x v="0"/>
    <x v="1"/>
  </r>
  <r>
    <x v="326"/>
    <s v="Luisa"/>
    <x v="326"/>
    <n v="741532244"/>
    <x v="0"/>
    <x v="581"/>
    <x v="1"/>
    <n v="129.29"/>
    <x v="0"/>
    <x v="2"/>
    <x v="1"/>
  </r>
  <r>
    <x v="482"/>
    <s v="Rafaela"/>
    <x v="482"/>
    <n v="629889888"/>
    <x v="0"/>
    <x v="355"/>
    <x v="6"/>
    <n v="727.13"/>
    <x v="0"/>
    <x v="2"/>
    <x v="0"/>
  </r>
  <r>
    <x v="385"/>
    <s v="Yaiza"/>
    <x v="385"/>
    <n v="639108490"/>
    <x v="0"/>
    <x v="473"/>
    <x v="16"/>
    <n v="1675.37"/>
    <x v="0"/>
    <x v="2"/>
    <x v="0"/>
  </r>
  <r>
    <x v="100"/>
    <s v="Jose Miguel"/>
    <x v="100"/>
    <n v="717372411"/>
    <x v="0"/>
    <x v="78"/>
    <x v="3"/>
    <n v="184.24"/>
    <x v="0"/>
    <x v="0"/>
    <x v="1"/>
  </r>
  <r>
    <x v="53"/>
    <s v="Eufemia"/>
    <x v="53"/>
    <n v="859966448"/>
    <x v="1"/>
    <x v="403"/>
    <x v="11"/>
    <n v="292.51"/>
    <x v="0"/>
    <x v="3"/>
    <x v="0"/>
  </r>
  <r>
    <x v="62"/>
    <s v="Jesusa"/>
    <x v="62"/>
    <n v="948373777"/>
    <x v="0"/>
    <x v="253"/>
    <x v="16"/>
    <n v="518.80999999999995"/>
    <x v="0"/>
    <x v="5"/>
    <x v="0"/>
  </r>
  <r>
    <x v="21"/>
    <s v="Jose Antonio"/>
    <x v="21"/>
    <n v="611493591"/>
    <x v="1"/>
    <x v="627"/>
    <x v="9"/>
    <n v="1349.9"/>
    <x v="0"/>
    <x v="3"/>
    <x v="1"/>
  </r>
  <r>
    <x v="504"/>
    <s v="María Carmen"/>
    <x v="504"/>
    <n v="732015376"/>
    <x v="1"/>
    <x v="378"/>
    <x v="1"/>
    <n v="169.73"/>
    <x v="0"/>
    <x v="4"/>
    <x v="0"/>
  </r>
  <r>
    <x v="505"/>
    <s v="Rosenda"/>
    <x v="505"/>
    <n v="749190017"/>
    <x v="1"/>
    <x v="628"/>
    <x v="23"/>
    <n v="388.08"/>
    <x v="0"/>
    <x v="3"/>
    <x v="1"/>
  </r>
  <r>
    <x v="68"/>
    <s v="Jose Manuel"/>
    <x v="68"/>
    <n v="747024959"/>
    <x v="1"/>
    <x v="629"/>
    <x v="13"/>
    <n v="1287.6099999999999"/>
    <x v="0"/>
    <x v="0"/>
    <x v="0"/>
  </r>
  <r>
    <x v="466"/>
    <s v="Fernando"/>
    <x v="466"/>
    <n v="745949966"/>
    <x v="2"/>
    <x v="95"/>
    <x v="5"/>
    <n v="491.24"/>
    <x v="0"/>
    <x v="2"/>
    <x v="1"/>
  </r>
  <r>
    <x v="192"/>
    <s v="Nayara"/>
    <x v="192"/>
    <n v="725966550"/>
    <x v="0"/>
    <x v="323"/>
    <x v="6"/>
    <n v="1188.0899999999999"/>
    <x v="1"/>
    <x v="2"/>
    <x v="1"/>
  </r>
  <r>
    <x v="413"/>
    <s v="Tadeo"/>
    <x v="413"/>
    <n v="865720278"/>
    <x v="0"/>
    <x v="100"/>
    <x v="7"/>
    <n v="1790.98"/>
    <x v="2"/>
    <x v="2"/>
    <x v="1"/>
  </r>
  <r>
    <x v="506"/>
    <s v="Apolonia"/>
    <x v="506"/>
    <n v="913698982"/>
    <x v="1"/>
    <x v="458"/>
    <x v="10"/>
    <n v="482.91"/>
    <x v="0"/>
    <x v="3"/>
    <x v="1"/>
  </r>
  <r>
    <x v="140"/>
    <s v="Socorro"/>
    <x v="140"/>
    <n v="708352673"/>
    <x v="0"/>
    <x v="255"/>
    <x v="3"/>
    <n v="526.95000000000005"/>
    <x v="0"/>
    <x v="1"/>
    <x v="1"/>
  </r>
  <r>
    <x v="507"/>
    <s v="Pascual"/>
    <x v="507"/>
    <n v="727357321"/>
    <x v="2"/>
    <x v="495"/>
    <x v="21"/>
    <n v="231.36"/>
    <x v="0"/>
    <x v="2"/>
    <x v="0"/>
  </r>
  <r>
    <x v="26"/>
    <s v="Isaías"/>
    <x v="26"/>
    <n v="892859188"/>
    <x v="0"/>
    <x v="104"/>
    <x v="13"/>
    <n v="1154.99"/>
    <x v="0"/>
    <x v="3"/>
    <x v="0"/>
  </r>
  <r>
    <x v="190"/>
    <s v="Juan José"/>
    <x v="190"/>
    <n v="745740326"/>
    <x v="2"/>
    <x v="544"/>
    <x v="12"/>
    <n v="117.32"/>
    <x v="0"/>
    <x v="3"/>
    <x v="1"/>
  </r>
  <r>
    <x v="221"/>
    <s v="Josep"/>
    <x v="221"/>
    <n v="707057282"/>
    <x v="2"/>
    <x v="630"/>
    <x v="19"/>
    <n v="1792.38"/>
    <x v="0"/>
    <x v="3"/>
    <x v="1"/>
  </r>
  <r>
    <x v="370"/>
    <s v="Edelmiro"/>
    <x v="370"/>
    <n v="716077636"/>
    <x v="1"/>
    <x v="123"/>
    <x v="23"/>
    <n v="915.56"/>
    <x v="0"/>
    <x v="2"/>
    <x v="1"/>
  </r>
  <r>
    <x v="359"/>
    <s v="Tamara"/>
    <x v="359"/>
    <n v="721034679"/>
    <x v="0"/>
    <x v="209"/>
    <x v="21"/>
    <n v="667.54"/>
    <x v="0"/>
    <x v="2"/>
    <x v="1"/>
  </r>
  <r>
    <x v="91"/>
    <s v="Chita"/>
    <x v="91"/>
    <n v="702654485"/>
    <x v="0"/>
    <x v="312"/>
    <x v="2"/>
    <n v="1621.26"/>
    <x v="0"/>
    <x v="2"/>
    <x v="1"/>
  </r>
  <r>
    <x v="215"/>
    <s v="Curro"/>
    <x v="215"/>
    <n v="728307481"/>
    <x v="0"/>
    <x v="111"/>
    <x v="3"/>
    <n v="892.02"/>
    <x v="1"/>
    <x v="3"/>
    <x v="0"/>
  </r>
  <r>
    <x v="345"/>
    <s v="Gregorio"/>
    <x v="345"/>
    <n v="646689911"/>
    <x v="0"/>
    <x v="547"/>
    <x v="6"/>
    <n v="1544.42"/>
    <x v="0"/>
    <x v="2"/>
    <x v="0"/>
  </r>
  <r>
    <x v="173"/>
    <s v="Eutropio"/>
    <x v="173"/>
    <n v="735063785"/>
    <x v="1"/>
    <x v="227"/>
    <x v="1"/>
    <n v="1248.8"/>
    <x v="0"/>
    <x v="2"/>
    <x v="1"/>
  </r>
  <r>
    <x v="312"/>
    <s v="Lara"/>
    <x v="312"/>
    <n v="729651240"/>
    <x v="0"/>
    <x v="631"/>
    <x v="12"/>
    <n v="1713.19"/>
    <x v="0"/>
    <x v="2"/>
    <x v="0"/>
  </r>
  <r>
    <x v="63"/>
    <s v="Susana"/>
    <x v="63"/>
    <n v="907654118"/>
    <x v="0"/>
    <x v="31"/>
    <x v="4"/>
    <n v="985"/>
    <x v="0"/>
    <x v="4"/>
    <x v="1"/>
  </r>
  <r>
    <x v="93"/>
    <s v="Eleuterio"/>
    <x v="93"/>
    <n v="802128905"/>
    <x v="0"/>
    <x v="632"/>
    <x v="0"/>
    <n v="1263.26"/>
    <x v="0"/>
    <x v="5"/>
    <x v="1"/>
  </r>
  <r>
    <x v="402"/>
    <s v="Pastora"/>
    <x v="402"/>
    <n v="876896889"/>
    <x v="1"/>
    <x v="633"/>
    <x v="14"/>
    <n v="99.33"/>
    <x v="0"/>
    <x v="1"/>
    <x v="1"/>
  </r>
  <r>
    <x v="508"/>
    <s v="Heriberto"/>
    <x v="508"/>
    <n v="627548062"/>
    <x v="0"/>
    <x v="634"/>
    <x v="7"/>
    <n v="1170.5999999999999"/>
    <x v="0"/>
    <x v="1"/>
    <x v="1"/>
  </r>
  <r>
    <x v="307"/>
    <s v="Morena"/>
    <x v="307"/>
    <n v="746921271"/>
    <x v="1"/>
    <x v="265"/>
    <x v="17"/>
    <n v="607.09"/>
    <x v="0"/>
    <x v="3"/>
    <x v="0"/>
  </r>
  <r>
    <x v="494"/>
    <s v="Emelina"/>
    <x v="494"/>
    <n v="707412179"/>
    <x v="1"/>
    <x v="113"/>
    <x v="4"/>
    <n v="594.82000000000005"/>
    <x v="0"/>
    <x v="3"/>
    <x v="0"/>
  </r>
  <r>
    <x v="383"/>
    <s v="Cecilia"/>
    <x v="383"/>
    <n v="746241600"/>
    <x v="0"/>
    <x v="318"/>
    <x v="5"/>
    <n v="63.74"/>
    <x v="0"/>
    <x v="2"/>
    <x v="0"/>
  </r>
  <r>
    <x v="509"/>
    <s v="Maxi"/>
    <x v="509"/>
    <n v="735430705"/>
    <x v="1"/>
    <x v="601"/>
    <x v="5"/>
    <n v="96.19"/>
    <x v="0"/>
    <x v="0"/>
    <x v="1"/>
  </r>
  <r>
    <x v="108"/>
    <s v="Jesús"/>
    <x v="108"/>
    <n v="979540496"/>
    <x v="0"/>
    <x v="6"/>
    <x v="4"/>
    <n v="1570.27"/>
    <x v="0"/>
    <x v="2"/>
    <x v="0"/>
  </r>
  <r>
    <x v="431"/>
    <s v="Pánfilo"/>
    <x v="431"/>
    <n v="947659636"/>
    <x v="1"/>
    <x v="443"/>
    <x v="23"/>
    <n v="985.96"/>
    <x v="0"/>
    <x v="4"/>
    <x v="0"/>
  </r>
  <r>
    <x v="469"/>
    <s v="Andrés Felipe"/>
    <x v="469"/>
    <n v="986129822"/>
    <x v="0"/>
    <x v="125"/>
    <x v="14"/>
    <n v="1783.16"/>
    <x v="0"/>
    <x v="2"/>
    <x v="0"/>
  </r>
  <r>
    <x v="334"/>
    <s v="Artemio"/>
    <x v="334"/>
    <n v="847920353"/>
    <x v="0"/>
    <x v="286"/>
    <x v="10"/>
    <n v="1382.33"/>
    <x v="0"/>
    <x v="2"/>
    <x v="1"/>
  </r>
  <r>
    <x v="431"/>
    <s v="Pánfilo"/>
    <x v="431"/>
    <n v="947659636"/>
    <x v="1"/>
    <x v="322"/>
    <x v="23"/>
    <n v="1183.04"/>
    <x v="0"/>
    <x v="3"/>
    <x v="1"/>
  </r>
  <r>
    <x v="364"/>
    <s v="Sarita"/>
    <x v="364"/>
    <n v="742697581"/>
    <x v="0"/>
    <x v="191"/>
    <x v="7"/>
    <n v="819.66"/>
    <x v="0"/>
    <x v="0"/>
    <x v="1"/>
  </r>
  <r>
    <x v="456"/>
    <s v="Ambrosio"/>
    <x v="456"/>
    <n v="667187938"/>
    <x v="1"/>
    <x v="495"/>
    <x v="4"/>
    <n v="266.75"/>
    <x v="0"/>
    <x v="1"/>
    <x v="1"/>
  </r>
  <r>
    <x v="180"/>
    <s v="Felipa"/>
    <x v="180"/>
    <n v="741679878"/>
    <x v="0"/>
    <x v="200"/>
    <x v="7"/>
    <n v="1040.74"/>
    <x v="0"/>
    <x v="3"/>
    <x v="0"/>
  </r>
  <r>
    <x v="396"/>
    <s v="Cecilio"/>
    <x v="396"/>
    <n v="966229025"/>
    <x v="0"/>
    <x v="503"/>
    <x v="18"/>
    <n v="232.46"/>
    <x v="0"/>
    <x v="2"/>
    <x v="1"/>
  </r>
  <r>
    <x v="470"/>
    <s v="Dan"/>
    <x v="470"/>
    <n v="739254068"/>
    <x v="1"/>
    <x v="41"/>
    <x v="7"/>
    <n v="621.54"/>
    <x v="0"/>
    <x v="3"/>
    <x v="0"/>
  </r>
  <r>
    <x v="461"/>
    <s v="Edelmira"/>
    <x v="461"/>
    <n v="728753739"/>
    <x v="1"/>
    <x v="635"/>
    <x v="4"/>
    <n v="1512.09"/>
    <x v="0"/>
    <x v="1"/>
    <x v="1"/>
  </r>
  <r>
    <x v="510"/>
    <s v="Evangelina"/>
    <x v="510"/>
    <n v="717884174"/>
    <x v="0"/>
    <x v="363"/>
    <x v="16"/>
    <n v="1598.05"/>
    <x v="0"/>
    <x v="2"/>
    <x v="0"/>
  </r>
  <r>
    <x v="182"/>
    <s v="Wálter"/>
    <x v="182"/>
    <n v="737403719"/>
    <x v="1"/>
    <x v="130"/>
    <x v="17"/>
    <n v="435.87"/>
    <x v="0"/>
    <x v="0"/>
    <x v="1"/>
  </r>
  <r>
    <x v="301"/>
    <s v="Fidela"/>
    <x v="301"/>
    <n v="724173510"/>
    <x v="0"/>
    <x v="160"/>
    <x v="16"/>
    <n v="641.16"/>
    <x v="0"/>
    <x v="1"/>
    <x v="1"/>
  </r>
  <r>
    <x v="466"/>
    <s v="Fernando"/>
    <x v="466"/>
    <n v="745949966"/>
    <x v="2"/>
    <x v="105"/>
    <x v="5"/>
    <n v="411.68"/>
    <x v="0"/>
    <x v="2"/>
    <x v="1"/>
  </r>
  <r>
    <x v="292"/>
    <s v="Carmen"/>
    <x v="292"/>
    <n v="921591687"/>
    <x v="0"/>
    <x v="418"/>
    <x v="1"/>
    <n v="114.68"/>
    <x v="0"/>
    <x v="1"/>
    <x v="0"/>
  </r>
  <r>
    <x v="84"/>
    <s v="Daniel"/>
    <x v="84"/>
    <n v="733027275"/>
    <x v="1"/>
    <x v="16"/>
    <x v="17"/>
    <n v="468.87"/>
    <x v="2"/>
    <x v="3"/>
    <x v="0"/>
  </r>
  <r>
    <x v="171"/>
    <s v="Manolo"/>
    <x v="171"/>
    <n v="859523189"/>
    <x v="0"/>
    <x v="510"/>
    <x v="17"/>
    <n v="1871.25"/>
    <x v="0"/>
    <x v="4"/>
    <x v="1"/>
  </r>
  <r>
    <x v="230"/>
    <s v="Adelaida"/>
    <x v="230"/>
    <n v="680373214"/>
    <x v="0"/>
    <x v="344"/>
    <x v="5"/>
    <n v="1718.63"/>
    <x v="0"/>
    <x v="2"/>
    <x v="1"/>
  </r>
  <r>
    <x v="452"/>
    <s v="Ciríaco"/>
    <x v="452"/>
    <n v="718783075"/>
    <x v="1"/>
    <x v="357"/>
    <x v="20"/>
    <n v="846"/>
    <x v="0"/>
    <x v="4"/>
    <x v="1"/>
  </r>
  <r>
    <x v="388"/>
    <s v="Julio César"/>
    <x v="388"/>
    <n v="719517916"/>
    <x v="0"/>
    <x v="616"/>
    <x v="17"/>
    <n v="1439.44"/>
    <x v="2"/>
    <x v="4"/>
    <x v="0"/>
  </r>
  <r>
    <x v="261"/>
    <s v="Jenny"/>
    <x v="261"/>
    <n v="678540300"/>
    <x v="0"/>
    <x v="636"/>
    <x v="6"/>
    <n v="73.650000000000006"/>
    <x v="0"/>
    <x v="0"/>
    <x v="1"/>
  </r>
  <r>
    <x v="106"/>
    <s v="Juan Bautista"/>
    <x v="106"/>
    <n v="723547702"/>
    <x v="0"/>
    <x v="169"/>
    <x v="21"/>
    <n v="551.58000000000004"/>
    <x v="2"/>
    <x v="2"/>
    <x v="1"/>
  </r>
  <r>
    <x v="496"/>
    <s v="Sergio"/>
    <x v="496"/>
    <n v="725811590"/>
    <x v="0"/>
    <x v="266"/>
    <x v="7"/>
    <n v="798.87"/>
    <x v="1"/>
    <x v="2"/>
    <x v="1"/>
  </r>
  <r>
    <x v="511"/>
    <s v="Irma"/>
    <x v="511"/>
    <n v="706401183"/>
    <x v="1"/>
    <x v="637"/>
    <x v="19"/>
    <n v="1408.22"/>
    <x v="0"/>
    <x v="1"/>
    <x v="0"/>
  </r>
  <r>
    <x v="402"/>
    <s v="Pastora"/>
    <x v="402"/>
    <n v="876896889"/>
    <x v="1"/>
    <x v="624"/>
    <x v="14"/>
    <n v="124.46"/>
    <x v="0"/>
    <x v="1"/>
    <x v="1"/>
  </r>
  <r>
    <x v="231"/>
    <s v="Azucena"/>
    <x v="231"/>
    <n v="907022641"/>
    <x v="0"/>
    <x v="638"/>
    <x v="5"/>
    <n v="489.61"/>
    <x v="1"/>
    <x v="2"/>
    <x v="0"/>
  </r>
  <r>
    <x v="512"/>
    <s v="Lola"/>
    <x v="512"/>
    <n v="707166146"/>
    <x v="0"/>
    <x v="206"/>
    <x v="5"/>
    <n v="947.61"/>
    <x v="0"/>
    <x v="2"/>
    <x v="1"/>
  </r>
  <r>
    <x v="50"/>
    <s v="Brunilda"/>
    <x v="50"/>
    <n v="715742102"/>
    <x v="0"/>
    <x v="476"/>
    <x v="6"/>
    <n v="1271.07"/>
    <x v="1"/>
    <x v="3"/>
    <x v="0"/>
  </r>
  <r>
    <x v="513"/>
    <s v="Kike"/>
    <x v="513"/>
    <n v="748033498"/>
    <x v="1"/>
    <x v="626"/>
    <x v="14"/>
    <n v="1483.06"/>
    <x v="0"/>
    <x v="0"/>
    <x v="1"/>
  </r>
  <r>
    <x v="462"/>
    <s v="Lucho"/>
    <x v="462"/>
    <n v="712172275"/>
    <x v="0"/>
    <x v="320"/>
    <x v="1"/>
    <n v="586.03"/>
    <x v="0"/>
    <x v="2"/>
    <x v="0"/>
  </r>
  <r>
    <x v="69"/>
    <s v="María Pilar"/>
    <x v="69"/>
    <n v="907777259"/>
    <x v="0"/>
    <x v="211"/>
    <x v="6"/>
    <n v="451.9"/>
    <x v="0"/>
    <x v="2"/>
    <x v="1"/>
  </r>
  <r>
    <x v="138"/>
    <s v="Faustino"/>
    <x v="138"/>
    <n v="744459838"/>
    <x v="0"/>
    <x v="426"/>
    <x v="8"/>
    <n v="769.49"/>
    <x v="0"/>
    <x v="2"/>
    <x v="1"/>
  </r>
  <r>
    <x v="36"/>
    <s v="Paulino"/>
    <x v="36"/>
    <n v="714200847"/>
    <x v="0"/>
    <x v="294"/>
    <x v="11"/>
    <n v="533.78"/>
    <x v="0"/>
    <x v="2"/>
    <x v="0"/>
  </r>
  <r>
    <x v="88"/>
    <s v="Alexandra"/>
    <x v="88"/>
    <n v="701371902"/>
    <x v="0"/>
    <x v="203"/>
    <x v="22"/>
    <n v="772.51"/>
    <x v="0"/>
    <x v="2"/>
    <x v="1"/>
  </r>
  <r>
    <x v="489"/>
    <s v="Marisela"/>
    <x v="489"/>
    <n v="698355833"/>
    <x v="1"/>
    <x v="81"/>
    <x v="1"/>
    <n v="1417.28"/>
    <x v="0"/>
    <x v="0"/>
    <x v="1"/>
  </r>
  <r>
    <x v="153"/>
    <s v="Calixta"/>
    <x v="153"/>
    <n v="732688394"/>
    <x v="0"/>
    <x v="97"/>
    <x v="6"/>
    <n v="626.36"/>
    <x v="0"/>
    <x v="2"/>
    <x v="1"/>
  </r>
  <r>
    <x v="351"/>
    <s v="Piedad"/>
    <x v="351"/>
    <n v="741286548"/>
    <x v="1"/>
    <x v="129"/>
    <x v="8"/>
    <n v="701.91"/>
    <x v="0"/>
    <x v="4"/>
    <x v="1"/>
  </r>
  <r>
    <x v="329"/>
    <s v="Yéssica"/>
    <x v="329"/>
    <n v="720043779"/>
    <x v="0"/>
    <x v="452"/>
    <x v="9"/>
    <n v="464.87"/>
    <x v="0"/>
    <x v="2"/>
    <x v="0"/>
  </r>
  <r>
    <x v="47"/>
    <s v="Nicodemo"/>
    <x v="47"/>
    <n v="706921192"/>
    <x v="2"/>
    <x v="417"/>
    <x v="19"/>
    <n v="1546.92"/>
    <x v="2"/>
    <x v="3"/>
    <x v="0"/>
  </r>
  <r>
    <x v="283"/>
    <s v="María Fernanda"/>
    <x v="283"/>
    <n v="735892521"/>
    <x v="1"/>
    <x v="176"/>
    <x v="0"/>
    <n v="559.57000000000005"/>
    <x v="0"/>
    <x v="3"/>
    <x v="0"/>
  </r>
  <r>
    <x v="406"/>
    <s v="Isabel"/>
    <x v="406"/>
    <n v="721786256"/>
    <x v="0"/>
    <x v="249"/>
    <x v="4"/>
    <n v="294.32"/>
    <x v="0"/>
    <x v="0"/>
    <x v="0"/>
  </r>
  <r>
    <x v="134"/>
    <s v="Reynaldo"/>
    <x v="134"/>
    <n v="633388134"/>
    <x v="0"/>
    <x v="134"/>
    <x v="18"/>
    <n v="1621.97"/>
    <x v="0"/>
    <x v="2"/>
    <x v="0"/>
  </r>
  <r>
    <x v="492"/>
    <s v="Teófila"/>
    <x v="492"/>
    <n v="702219994"/>
    <x v="0"/>
    <x v="639"/>
    <x v="19"/>
    <n v="866.06"/>
    <x v="2"/>
    <x v="1"/>
    <x v="0"/>
  </r>
  <r>
    <x v="147"/>
    <s v="Evaristo"/>
    <x v="147"/>
    <n v="720179790"/>
    <x v="0"/>
    <x v="607"/>
    <x v="8"/>
    <n v="1953.28"/>
    <x v="0"/>
    <x v="1"/>
    <x v="0"/>
  </r>
  <r>
    <x v="455"/>
    <s v="Judith"/>
    <x v="455"/>
    <n v="744625067"/>
    <x v="0"/>
    <x v="55"/>
    <x v="4"/>
    <n v="485.04"/>
    <x v="0"/>
    <x v="2"/>
    <x v="1"/>
  </r>
  <r>
    <x v="454"/>
    <s v="Verónica"/>
    <x v="454"/>
    <n v="731576543"/>
    <x v="0"/>
    <x v="38"/>
    <x v="13"/>
    <n v="593.37"/>
    <x v="0"/>
    <x v="2"/>
    <x v="1"/>
  </r>
  <r>
    <x v="51"/>
    <s v="Joel"/>
    <x v="51"/>
    <n v="737972549"/>
    <x v="1"/>
    <x v="70"/>
    <x v="11"/>
    <n v="650.22"/>
    <x v="0"/>
    <x v="0"/>
    <x v="0"/>
  </r>
  <r>
    <x v="156"/>
    <s v="Nuria"/>
    <x v="156"/>
    <n v="719129176"/>
    <x v="1"/>
    <x v="479"/>
    <x v="5"/>
    <n v="1415.54"/>
    <x v="0"/>
    <x v="0"/>
    <x v="0"/>
  </r>
  <r>
    <x v="311"/>
    <s v="Cesar"/>
    <x v="311"/>
    <n v="746264285"/>
    <x v="0"/>
    <x v="529"/>
    <x v="10"/>
    <n v="1325.44"/>
    <x v="0"/>
    <x v="2"/>
    <x v="0"/>
  </r>
  <r>
    <x v="247"/>
    <s v="Guadalupe"/>
    <x v="247"/>
    <n v="712646789"/>
    <x v="0"/>
    <x v="545"/>
    <x v="18"/>
    <n v="1388.71"/>
    <x v="0"/>
    <x v="2"/>
    <x v="0"/>
  </r>
  <r>
    <x v="514"/>
    <s v="Conrado"/>
    <x v="514"/>
    <n v="743295032"/>
    <x v="0"/>
    <x v="609"/>
    <x v="15"/>
    <n v="1206.4000000000001"/>
    <x v="1"/>
    <x v="2"/>
    <x v="0"/>
  </r>
  <r>
    <x v="84"/>
    <s v="Daniel"/>
    <x v="84"/>
    <n v="733027275"/>
    <x v="1"/>
    <x v="442"/>
    <x v="17"/>
    <n v="353.42"/>
    <x v="2"/>
    <x v="3"/>
    <x v="0"/>
  </r>
  <r>
    <x v="345"/>
    <s v="Gregorio"/>
    <x v="345"/>
    <n v="646689911"/>
    <x v="0"/>
    <x v="413"/>
    <x v="6"/>
    <n v="614.87"/>
    <x v="0"/>
    <x v="2"/>
    <x v="1"/>
  </r>
  <r>
    <x v="103"/>
    <s v="Emilia"/>
    <x v="103"/>
    <n v="721361791"/>
    <x v="0"/>
    <x v="640"/>
    <x v="7"/>
    <n v="1766.28"/>
    <x v="0"/>
    <x v="2"/>
    <x v="0"/>
  </r>
  <r>
    <x v="86"/>
    <s v="Apolinar"/>
    <x v="86"/>
    <n v="825868533"/>
    <x v="1"/>
    <x v="637"/>
    <x v="21"/>
    <n v="882.92"/>
    <x v="0"/>
    <x v="3"/>
    <x v="0"/>
  </r>
  <r>
    <x v="116"/>
    <s v="Ramona"/>
    <x v="116"/>
    <n v="622023254"/>
    <x v="0"/>
    <x v="68"/>
    <x v="13"/>
    <n v="915.73"/>
    <x v="0"/>
    <x v="2"/>
    <x v="0"/>
  </r>
  <r>
    <x v="104"/>
    <s v="Cayetana"/>
    <x v="104"/>
    <n v="930065477"/>
    <x v="0"/>
    <x v="423"/>
    <x v="11"/>
    <n v="1288.25"/>
    <x v="0"/>
    <x v="2"/>
    <x v="0"/>
  </r>
  <r>
    <x v="484"/>
    <s v="Fortunato"/>
    <x v="484"/>
    <n v="983839916"/>
    <x v="1"/>
    <x v="426"/>
    <x v="19"/>
    <n v="1183.67"/>
    <x v="0"/>
    <x v="3"/>
    <x v="1"/>
  </r>
  <r>
    <x v="488"/>
    <s v="Octavio"/>
    <x v="488"/>
    <n v="725166782"/>
    <x v="0"/>
    <x v="177"/>
    <x v="10"/>
    <n v="1584.88"/>
    <x v="0"/>
    <x v="0"/>
    <x v="1"/>
  </r>
  <r>
    <x v="422"/>
    <s v="Fabiola"/>
    <x v="422"/>
    <n v="736322863"/>
    <x v="1"/>
    <x v="77"/>
    <x v="10"/>
    <n v="1683.68"/>
    <x v="0"/>
    <x v="3"/>
    <x v="0"/>
  </r>
  <r>
    <x v="251"/>
    <s v="Yéssica"/>
    <x v="251"/>
    <n v="933910652"/>
    <x v="1"/>
    <x v="641"/>
    <x v="7"/>
    <n v="74.209999999999994"/>
    <x v="2"/>
    <x v="3"/>
    <x v="0"/>
  </r>
  <r>
    <x v="109"/>
    <s v="Román"/>
    <x v="109"/>
    <n v="681942999"/>
    <x v="0"/>
    <x v="477"/>
    <x v="6"/>
    <n v="1320.33"/>
    <x v="0"/>
    <x v="5"/>
    <x v="0"/>
  </r>
  <r>
    <x v="190"/>
    <s v="Juan José"/>
    <x v="190"/>
    <n v="745740326"/>
    <x v="2"/>
    <x v="101"/>
    <x v="12"/>
    <n v="870.47"/>
    <x v="0"/>
    <x v="1"/>
    <x v="1"/>
  </r>
  <r>
    <x v="515"/>
    <s v="Manuelita"/>
    <x v="515"/>
    <n v="729040661"/>
    <x v="0"/>
    <x v="539"/>
    <x v="3"/>
    <n v="1670.35"/>
    <x v="0"/>
    <x v="2"/>
    <x v="0"/>
  </r>
  <r>
    <x v="276"/>
    <s v="Judith"/>
    <x v="276"/>
    <n v="734368160"/>
    <x v="0"/>
    <x v="311"/>
    <x v="6"/>
    <n v="122.64"/>
    <x v="0"/>
    <x v="3"/>
    <x v="1"/>
  </r>
  <r>
    <x v="196"/>
    <s v="Primitivo"/>
    <x v="196"/>
    <n v="731359620"/>
    <x v="1"/>
    <x v="440"/>
    <x v="8"/>
    <n v="1307.96"/>
    <x v="0"/>
    <x v="3"/>
    <x v="1"/>
  </r>
  <r>
    <x v="177"/>
    <s v="Custodia"/>
    <x v="177"/>
    <n v="705676062"/>
    <x v="1"/>
    <x v="414"/>
    <x v="17"/>
    <n v="1662.24"/>
    <x v="0"/>
    <x v="1"/>
    <x v="0"/>
  </r>
  <r>
    <x v="380"/>
    <s v="Caridad"/>
    <x v="380"/>
    <n v="728952399"/>
    <x v="0"/>
    <x v="642"/>
    <x v="6"/>
    <n v="1988.7"/>
    <x v="0"/>
    <x v="1"/>
    <x v="0"/>
  </r>
  <r>
    <x v="479"/>
    <s v="Carmen"/>
    <x v="479"/>
    <n v="925202711"/>
    <x v="1"/>
    <x v="459"/>
    <x v="22"/>
    <n v="316.29000000000002"/>
    <x v="1"/>
    <x v="0"/>
    <x v="1"/>
  </r>
  <r>
    <x v="425"/>
    <s v="Teodoro"/>
    <x v="425"/>
    <n v="682290273"/>
    <x v="1"/>
    <x v="548"/>
    <x v="6"/>
    <n v="921.86"/>
    <x v="2"/>
    <x v="0"/>
    <x v="1"/>
  </r>
  <r>
    <x v="516"/>
    <s v="Corona"/>
    <x v="516"/>
    <n v="718841855"/>
    <x v="1"/>
    <x v="558"/>
    <x v="6"/>
    <n v="1917.47"/>
    <x v="0"/>
    <x v="3"/>
    <x v="0"/>
  </r>
  <r>
    <x v="118"/>
    <s v="Vidal"/>
    <x v="118"/>
    <n v="749984420"/>
    <x v="0"/>
    <x v="65"/>
    <x v="18"/>
    <n v="984.32"/>
    <x v="0"/>
    <x v="1"/>
    <x v="0"/>
  </r>
  <r>
    <x v="358"/>
    <s v="Ricardo"/>
    <x v="358"/>
    <n v="701616066"/>
    <x v="0"/>
    <x v="498"/>
    <x v="16"/>
    <n v="122.08"/>
    <x v="1"/>
    <x v="3"/>
    <x v="0"/>
  </r>
  <r>
    <x v="419"/>
    <s v="Vera"/>
    <x v="419"/>
    <n v="660996978"/>
    <x v="1"/>
    <x v="331"/>
    <x v="3"/>
    <n v="380.82"/>
    <x v="0"/>
    <x v="3"/>
    <x v="0"/>
  </r>
  <r>
    <x v="309"/>
    <s v="Sosimo"/>
    <x v="309"/>
    <n v="722204395"/>
    <x v="0"/>
    <x v="317"/>
    <x v="14"/>
    <n v="476.09"/>
    <x v="1"/>
    <x v="0"/>
    <x v="1"/>
  </r>
  <r>
    <x v="517"/>
    <s v="Teo"/>
    <x v="517"/>
    <n v="700468647"/>
    <x v="0"/>
    <x v="203"/>
    <x v="6"/>
    <n v="537.27"/>
    <x v="0"/>
    <x v="2"/>
    <x v="0"/>
  </r>
  <r>
    <x v="66"/>
    <s v="Marcelino"/>
    <x v="66"/>
    <n v="719919620"/>
    <x v="0"/>
    <x v="377"/>
    <x v="15"/>
    <n v="1971.59"/>
    <x v="0"/>
    <x v="2"/>
    <x v="0"/>
  </r>
  <r>
    <x v="57"/>
    <s v="Felix"/>
    <x v="57"/>
    <n v="863311909"/>
    <x v="0"/>
    <x v="106"/>
    <x v="7"/>
    <n v="350.3"/>
    <x v="0"/>
    <x v="2"/>
    <x v="1"/>
  </r>
  <r>
    <x v="484"/>
    <s v="Fortunato"/>
    <x v="484"/>
    <n v="983839916"/>
    <x v="1"/>
    <x v="187"/>
    <x v="19"/>
    <n v="1624.46"/>
    <x v="0"/>
    <x v="4"/>
    <x v="1"/>
  </r>
  <r>
    <x v="127"/>
    <s v="Rocío"/>
    <x v="127"/>
    <n v="712704910"/>
    <x v="0"/>
    <x v="643"/>
    <x v="12"/>
    <n v="1801.42"/>
    <x v="0"/>
    <x v="4"/>
    <x v="1"/>
  </r>
  <r>
    <x v="425"/>
    <s v="Teodoro"/>
    <x v="425"/>
    <n v="682290273"/>
    <x v="1"/>
    <x v="264"/>
    <x v="6"/>
    <n v="763.72"/>
    <x v="0"/>
    <x v="4"/>
    <x v="0"/>
  </r>
  <r>
    <x v="89"/>
    <s v="Olga"/>
    <x v="89"/>
    <n v="728508171"/>
    <x v="0"/>
    <x v="486"/>
    <x v="6"/>
    <n v="220.62"/>
    <x v="0"/>
    <x v="0"/>
    <x v="0"/>
  </r>
  <r>
    <x v="466"/>
    <s v="Fernando"/>
    <x v="466"/>
    <n v="745949966"/>
    <x v="2"/>
    <x v="628"/>
    <x v="5"/>
    <n v="1446.96"/>
    <x v="1"/>
    <x v="2"/>
    <x v="0"/>
  </r>
  <r>
    <x v="344"/>
    <s v="Omar"/>
    <x v="344"/>
    <n v="840470316"/>
    <x v="1"/>
    <x v="559"/>
    <x v="0"/>
    <n v="1644.89"/>
    <x v="2"/>
    <x v="0"/>
    <x v="0"/>
  </r>
  <r>
    <x v="25"/>
    <s v="Marcelo"/>
    <x v="25"/>
    <n v="742924464"/>
    <x v="1"/>
    <x v="95"/>
    <x v="8"/>
    <n v="850.64"/>
    <x v="0"/>
    <x v="3"/>
    <x v="1"/>
  </r>
  <r>
    <x v="122"/>
    <s v="Sol"/>
    <x v="122"/>
    <n v="911729847"/>
    <x v="1"/>
    <x v="516"/>
    <x v="23"/>
    <n v="746.26"/>
    <x v="2"/>
    <x v="5"/>
    <x v="0"/>
  </r>
  <r>
    <x v="233"/>
    <s v="Narciso"/>
    <x v="233"/>
    <n v="707714744"/>
    <x v="2"/>
    <x v="155"/>
    <x v="9"/>
    <n v="1745.32"/>
    <x v="2"/>
    <x v="0"/>
    <x v="1"/>
  </r>
  <r>
    <x v="459"/>
    <s v="Victor Manuel"/>
    <x v="459"/>
    <n v="717669942"/>
    <x v="0"/>
    <x v="304"/>
    <x v="19"/>
    <n v="1665.17"/>
    <x v="0"/>
    <x v="4"/>
    <x v="0"/>
  </r>
  <r>
    <x v="83"/>
    <s v="Ema"/>
    <x v="83"/>
    <n v="745956596"/>
    <x v="0"/>
    <x v="69"/>
    <x v="19"/>
    <n v="1405.72"/>
    <x v="0"/>
    <x v="2"/>
    <x v="1"/>
  </r>
  <r>
    <x v="438"/>
    <s v="Vera"/>
    <x v="438"/>
    <n v="990539729"/>
    <x v="0"/>
    <x v="582"/>
    <x v="3"/>
    <n v="1992.8"/>
    <x v="0"/>
    <x v="1"/>
    <x v="1"/>
  </r>
  <r>
    <x v="518"/>
    <s v="Clementina"/>
    <x v="518"/>
    <n v="745258721"/>
    <x v="0"/>
    <x v="608"/>
    <x v="1"/>
    <n v="1661.08"/>
    <x v="0"/>
    <x v="1"/>
    <x v="0"/>
  </r>
  <r>
    <x v="411"/>
    <s v="Evangelina"/>
    <x v="411"/>
    <n v="746518380"/>
    <x v="1"/>
    <x v="456"/>
    <x v="20"/>
    <n v="621.84"/>
    <x v="0"/>
    <x v="3"/>
    <x v="1"/>
  </r>
  <r>
    <x v="220"/>
    <s v="Simón"/>
    <x v="220"/>
    <n v="728581458"/>
    <x v="0"/>
    <x v="479"/>
    <x v="11"/>
    <n v="582.29"/>
    <x v="0"/>
    <x v="4"/>
    <x v="1"/>
  </r>
  <r>
    <x v="165"/>
    <s v="Pancho"/>
    <x v="165"/>
    <n v="745695976"/>
    <x v="0"/>
    <x v="193"/>
    <x v="0"/>
    <n v="1078.21"/>
    <x v="2"/>
    <x v="4"/>
    <x v="1"/>
  </r>
  <r>
    <x v="63"/>
    <s v="Susana"/>
    <x v="63"/>
    <n v="907654118"/>
    <x v="0"/>
    <x v="644"/>
    <x v="4"/>
    <n v="1732.99"/>
    <x v="0"/>
    <x v="2"/>
    <x v="0"/>
  </r>
  <r>
    <x v="163"/>
    <s v="Teresita"/>
    <x v="163"/>
    <n v="693949039"/>
    <x v="0"/>
    <x v="540"/>
    <x v="10"/>
    <n v="520.79999999999995"/>
    <x v="0"/>
    <x v="1"/>
    <x v="1"/>
  </r>
  <r>
    <x v="238"/>
    <s v="Magdalena"/>
    <x v="238"/>
    <n v="650924818"/>
    <x v="1"/>
    <x v="149"/>
    <x v="17"/>
    <n v="1240.3"/>
    <x v="0"/>
    <x v="3"/>
    <x v="1"/>
  </r>
  <r>
    <x v="58"/>
    <s v="Clarisa"/>
    <x v="58"/>
    <n v="705986638"/>
    <x v="0"/>
    <x v="290"/>
    <x v="10"/>
    <n v="958.94"/>
    <x v="1"/>
    <x v="3"/>
    <x v="1"/>
  </r>
  <r>
    <x v="66"/>
    <s v="Marcelino"/>
    <x v="66"/>
    <n v="719919620"/>
    <x v="0"/>
    <x v="461"/>
    <x v="15"/>
    <n v="11.32"/>
    <x v="0"/>
    <x v="3"/>
    <x v="0"/>
  </r>
  <r>
    <x v="278"/>
    <s v="Anselmo"/>
    <x v="278"/>
    <n v="707111139"/>
    <x v="0"/>
    <x v="351"/>
    <x v="14"/>
    <n v="1562.19"/>
    <x v="0"/>
    <x v="1"/>
    <x v="1"/>
  </r>
  <r>
    <x v="57"/>
    <s v="Felix"/>
    <x v="57"/>
    <n v="863311909"/>
    <x v="0"/>
    <x v="645"/>
    <x v="7"/>
    <n v="1017.47"/>
    <x v="0"/>
    <x v="3"/>
    <x v="1"/>
  </r>
  <r>
    <x v="309"/>
    <s v="Sosimo"/>
    <x v="309"/>
    <n v="722204395"/>
    <x v="0"/>
    <x v="646"/>
    <x v="14"/>
    <n v="819.65"/>
    <x v="1"/>
    <x v="0"/>
    <x v="0"/>
  </r>
  <r>
    <x v="437"/>
    <s v="Adalberto"/>
    <x v="437"/>
    <n v="713494387"/>
    <x v="0"/>
    <x v="617"/>
    <x v="1"/>
    <n v="395.37"/>
    <x v="0"/>
    <x v="3"/>
    <x v="0"/>
  </r>
  <r>
    <x v="239"/>
    <s v="Estela"/>
    <x v="239"/>
    <n v="722992018"/>
    <x v="0"/>
    <x v="199"/>
    <x v="12"/>
    <n v="159.94999999999999"/>
    <x v="0"/>
    <x v="3"/>
    <x v="1"/>
  </r>
  <r>
    <x v="47"/>
    <s v="Nicodemo"/>
    <x v="47"/>
    <n v="706921192"/>
    <x v="2"/>
    <x v="514"/>
    <x v="19"/>
    <n v="1388.76"/>
    <x v="0"/>
    <x v="0"/>
    <x v="1"/>
  </r>
  <r>
    <x v="184"/>
    <s v="Matilde"/>
    <x v="184"/>
    <n v="716908291"/>
    <x v="0"/>
    <x v="647"/>
    <x v="9"/>
    <n v="199.77"/>
    <x v="0"/>
    <x v="1"/>
    <x v="1"/>
  </r>
  <r>
    <x v="322"/>
    <s v="Toribio"/>
    <x v="322"/>
    <n v="713652480"/>
    <x v="2"/>
    <x v="439"/>
    <x v="15"/>
    <n v="1362.49"/>
    <x v="0"/>
    <x v="2"/>
    <x v="0"/>
  </r>
  <r>
    <x v="154"/>
    <s v="Angelino"/>
    <x v="154"/>
    <n v="958161330"/>
    <x v="2"/>
    <x v="583"/>
    <x v="11"/>
    <n v="301.58"/>
    <x v="0"/>
    <x v="3"/>
    <x v="1"/>
  </r>
  <r>
    <x v="244"/>
    <s v="Bautista"/>
    <x v="244"/>
    <n v="714298563"/>
    <x v="0"/>
    <x v="614"/>
    <x v="16"/>
    <n v="721.91"/>
    <x v="0"/>
    <x v="3"/>
    <x v="0"/>
  </r>
  <r>
    <x v="137"/>
    <s v="Lola"/>
    <x v="137"/>
    <n v="813178789"/>
    <x v="1"/>
    <x v="387"/>
    <x v="7"/>
    <n v="1320.51"/>
    <x v="0"/>
    <x v="3"/>
    <x v="1"/>
  </r>
  <r>
    <x v="410"/>
    <s v="Rufino"/>
    <x v="410"/>
    <n v="730694210"/>
    <x v="1"/>
    <x v="331"/>
    <x v="3"/>
    <n v="1342"/>
    <x v="0"/>
    <x v="3"/>
    <x v="1"/>
  </r>
  <r>
    <x v="405"/>
    <s v="Gil"/>
    <x v="405"/>
    <n v="737928942"/>
    <x v="0"/>
    <x v="495"/>
    <x v="2"/>
    <n v="1686.64"/>
    <x v="1"/>
    <x v="2"/>
    <x v="0"/>
  </r>
  <r>
    <x v="519"/>
    <s v="Amor"/>
    <x v="519"/>
    <n v="856224115"/>
    <x v="1"/>
    <x v="133"/>
    <x v="14"/>
    <n v="281.01"/>
    <x v="0"/>
    <x v="3"/>
    <x v="1"/>
  </r>
  <r>
    <x v="30"/>
    <s v="Florentino"/>
    <x v="30"/>
    <n v="951987392"/>
    <x v="0"/>
    <x v="629"/>
    <x v="7"/>
    <n v="1650.82"/>
    <x v="0"/>
    <x v="0"/>
    <x v="0"/>
  </r>
  <r>
    <x v="259"/>
    <s v="Petrona"/>
    <x v="259"/>
    <n v="733394756"/>
    <x v="1"/>
    <x v="87"/>
    <x v="19"/>
    <n v="388.16"/>
    <x v="0"/>
    <x v="3"/>
    <x v="0"/>
  </r>
  <r>
    <x v="142"/>
    <s v="Néstor"/>
    <x v="142"/>
    <n v="723570924"/>
    <x v="0"/>
    <x v="453"/>
    <x v="16"/>
    <n v="1605.51"/>
    <x v="0"/>
    <x v="5"/>
    <x v="1"/>
  </r>
  <r>
    <x v="403"/>
    <s v="Armida"/>
    <x v="403"/>
    <n v="942844383"/>
    <x v="0"/>
    <x v="616"/>
    <x v="13"/>
    <n v="1126.54"/>
    <x v="2"/>
    <x v="1"/>
    <x v="1"/>
  </r>
  <r>
    <x v="520"/>
    <s v="Valentín"/>
    <x v="520"/>
    <n v="741614657"/>
    <x v="0"/>
    <x v="229"/>
    <x v="0"/>
    <n v="287.52"/>
    <x v="0"/>
    <x v="2"/>
    <x v="1"/>
  </r>
  <r>
    <x v="69"/>
    <s v="María Pilar"/>
    <x v="69"/>
    <n v="907777259"/>
    <x v="0"/>
    <x v="399"/>
    <x v="6"/>
    <n v="1539.51"/>
    <x v="0"/>
    <x v="2"/>
    <x v="0"/>
  </r>
  <r>
    <x v="521"/>
    <s v="Apolonia"/>
    <x v="521"/>
    <n v="886480363"/>
    <x v="1"/>
    <x v="480"/>
    <x v="4"/>
    <n v="926.32"/>
    <x v="0"/>
    <x v="2"/>
    <x v="0"/>
  </r>
  <r>
    <x v="184"/>
    <s v="Matilde"/>
    <x v="184"/>
    <n v="716908291"/>
    <x v="0"/>
    <x v="174"/>
    <x v="9"/>
    <n v="1654.61"/>
    <x v="0"/>
    <x v="1"/>
    <x v="0"/>
  </r>
  <r>
    <x v="359"/>
    <s v="Tamara"/>
    <x v="359"/>
    <n v="721034679"/>
    <x v="0"/>
    <x v="273"/>
    <x v="21"/>
    <n v="352.19"/>
    <x v="0"/>
    <x v="2"/>
    <x v="1"/>
  </r>
  <r>
    <x v="348"/>
    <s v="Ismael"/>
    <x v="348"/>
    <n v="724961052"/>
    <x v="1"/>
    <x v="58"/>
    <x v="11"/>
    <n v="1579.08"/>
    <x v="0"/>
    <x v="1"/>
    <x v="1"/>
  </r>
  <r>
    <x v="346"/>
    <s v="Blanca"/>
    <x v="346"/>
    <n v="858084159"/>
    <x v="2"/>
    <x v="460"/>
    <x v="2"/>
    <n v="18.3"/>
    <x v="0"/>
    <x v="2"/>
    <x v="0"/>
  </r>
  <r>
    <x v="333"/>
    <s v="Cristian"/>
    <x v="333"/>
    <n v="827325070"/>
    <x v="0"/>
    <x v="94"/>
    <x v="6"/>
    <n v="372.98"/>
    <x v="0"/>
    <x v="3"/>
    <x v="0"/>
  </r>
  <r>
    <x v="472"/>
    <s v="Jordana"/>
    <x v="472"/>
    <n v="996524673"/>
    <x v="0"/>
    <x v="250"/>
    <x v="11"/>
    <n v="701.46"/>
    <x v="0"/>
    <x v="3"/>
    <x v="1"/>
  </r>
  <r>
    <x v="144"/>
    <s v="Verónica"/>
    <x v="144"/>
    <n v="745405673"/>
    <x v="1"/>
    <x v="325"/>
    <x v="13"/>
    <n v="1373.87"/>
    <x v="0"/>
    <x v="5"/>
    <x v="1"/>
  </r>
  <r>
    <x v="186"/>
    <s v="Mohamed"/>
    <x v="186"/>
    <n v="741558653"/>
    <x v="0"/>
    <x v="484"/>
    <x v="3"/>
    <n v="1772.41"/>
    <x v="0"/>
    <x v="2"/>
    <x v="0"/>
  </r>
  <r>
    <x v="352"/>
    <s v="Concepción"/>
    <x v="352"/>
    <n v="717920847"/>
    <x v="0"/>
    <x v="159"/>
    <x v="7"/>
    <n v="661.01"/>
    <x v="0"/>
    <x v="1"/>
    <x v="0"/>
  </r>
  <r>
    <x v="61"/>
    <s v="José Ángel"/>
    <x v="61"/>
    <n v="748347564"/>
    <x v="1"/>
    <x v="604"/>
    <x v="4"/>
    <n v="571.25"/>
    <x v="2"/>
    <x v="3"/>
    <x v="1"/>
  </r>
  <r>
    <x v="344"/>
    <s v="Omar"/>
    <x v="344"/>
    <n v="840470316"/>
    <x v="1"/>
    <x v="319"/>
    <x v="0"/>
    <n v="67.36"/>
    <x v="0"/>
    <x v="3"/>
    <x v="0"/>
  </r>
  <r>
    <x v="100"/>
    <s v="Jose Miguel"/>
    <x v="100"/>
    <n v="717372411"/>
    <x v="0"/>
    <x v="441"/>
    <x v="3"/>
    <n v="153.63999999999999"/>
    <x v="0"/>
    <x v="3"/>
    <x v="1"/>
  </r>
  <r>
    <x v="283"/>
    <s v="María Fernanda"/>
    <x v="283"/>
    <n v="735892521"/>
    <x v="1"/>
    <x v="172"/>
    <x v="0"/>
    <n v="445.8"/>
    <x v="0"/>
    <x v="1"/>
    <x v="0"/>
  </r>
  <r>
    <x v="496"/>
    <s v="Sergio"/>
    <x v="496"/>
    <n v="725811590"/>
    <x v="0"/>
    <x v="359"/>
    <x v="7"/>
    <n v="735.87"/>
    <x v="0"/>
    <x v="1"/>
    <x v="1"/>
  </r>
  <r>
    <x v="522"/>
    <s v="Marc"/>
    <x v="522"/>
    <n v="639874536"/>
    <x v="0"/>
    <x v="605"/>
    <x v="18"/>
    <n v="1825.03"/>
    <x v="2"/>
    <x v="3"/>
    <x v="1"/>
  </r>
  <r>
    <x v="94"/>
    <s v="Martín"/>
    <x v="94"/>
    <n v="730582836"/>
    <x v="1"/>
    <x v="632"/>
    <x v="9"/>
    <n v="762.02"/>
    <x v="0"/>
    <x v="3"/>
    <x v="0"/>
  </r>
  <r>
    <x v="253"/>
    <s v="Lázaro"/>
    <x v="253"/>
    <n v="721073574"/>
    <x v="1"/>
    <x v="336"/>
    <x v="14"/>
    <n v="1372.37"/>
    <x v="0"/>
    <x v="3"/>
    <x v="0"/>
  </r>
  <r>
    <x v="167"/>
    <s v="Cristian"/>
    <x v="167"/>
    <n v="933609477"/>
    <x v="0"/>
    <x v="70"/>
    <x v="2"/>
    <n v="835.92"/>
    <x v="0"/>
    <x v="3"/>
    <x v="0"/>
  </r>
  <r>
    <x v="523"/>
    <s v="Oriana"/>
    <x v="523"/>
    <n v="749061001"/>
    <x v="0"/>
    <x v="179"/>
    <x v="9"/>
    <n v="304.17"/>
    <x v="0"/>
    <x v="1"/>
    <x v="1"/>
  </r>
  <r>
    <x v="172"/>
    <s v="Arsenio"/>
    <x v="172"/>
    <n v="710606110"/>
    <x v="1"/>
    <x v="198"/>
    <x v="5"/>
    <n v="494.98"/>
    <x v="0"/>
    <x v="3"/>
    <x v="1"/>
  </r>
  <r>
    <x v="379"/>
    <s v="Francisco Jose"/>
    <x v="379"/>
    <n v="740184253"/>
    <x v="2"/>
    <x v="80"/>
    <x v="16"/>
    <n v="1822.65"/>
    <x v="0"/>
    <x v="1"/>
    <x v="0"/>
  </r>
  <r>
    <x v="124"/>
    <s v="Adora"/>
    <x v="124"/>
    <n v="746643710"/>
    <x v="2"/>
    <x v="462"/>
    <x v="15"/>
    <n v="1990.43"/>
    <x v="0"/>
    <x v="2"/>
    <x v="1"/>
  </r>
  <r>
    <x v="90"/>
    <s v="Rolando"/>
    <x v="90"/>
    <n v="709840779"/>
    <x v="2"/>
    <x v="65"/>
    <x v="3"/>
    <n v="53.87"/>
    <x v="1"/>
    <x v="4"/>
    <x v="1"/>
  </r>
  <r>
    <x v="437"/>
    <s v="Adalberto"/>
    <x v="437"/>
    <n v="713494387"/>
    <x v="0"/>
    <x v="560"/>
    <x v="1"/>
    <n v="201.59"/>
    <x v="0"/>
    <x v="2"/>
    <x v="1"/>
  </r>
  <r>
    <x v="421"/>
    <s v="Visitación"/>
    <x v="421"/>
    <n v="937405090"/>
    <x v="2"/>
    <x v="275"/>
    <x v="12"/>
    <n v="1103.49"/>
    <x v="0"/>
    <x v="1"/>
    <x v="0"/>
  </r>
  <r>
    <x v="201"/>
    <s v="Azucena"/>
    <x v="201"/>
    <n v="709339074"/>
    <x v="0"/>
    <x v="222"/>
    <x v="12"/>
    <n v="71.02"/>
    <x v="0"/>
    <x v="2"/>
    <x v="1"/>
  </r>
  <r>
    <x v="495"/>
    <s v="Abril"/>
    <x v="495"/>
    <n v="962917290"/>
    <x v="0"/>
    <x v="484"/>
    <x v="22"/>
    <n v="32.380000000000003"/>
    <x v="0"/>
    <x v="2"/>
    <x v="1"/>
  </r>
  <r>
    <x v="311"/>
    <s v="Cesar"/>
    <x v="311"/>
    <n v="746264285"/>
    <x v="0"/>
    <x v="648"/>
    <x v="10"/>
    <n v="1758.94"/>
    <x v="0"/>
    <x v="0"/>
    <x v="1"/>
  </r>
  <r>
    <x v="159"/>
    <s v="Reynaldo"/>
    <x v="159"/>
    <n v="723183453"/>
    <x v="2"/>
    <x v="330"/>
    <x v="12"/>
    <n v="1709.67"/>
    <x v="1"/>
    <x v="3"/>
    <x v="1"/>
  </r>
  <r>
    <x v="402"/>
    <s v="Pastora"/>
    <x v="402"/>
    <n v="876896889"/>
    <x v="1"/>
    <x v="403"/>
    <x v="14"/>
    <n v="463.59"/>
    <x v="0"/>
    <x v="1"/>
    <x v="0"/>
  </r>
  <r>
    <x v="14"/>
    <s v="Eduardo"/>
    <x v="14"/>
    <n v="720435143"/>
    <x v="0"/>
    <x v="374"/>
    <x v="5"/>
    <n v="1113.79"/>
    <x v="0"/>
    <x v="2"/>
    <x v="1"/>
  </r>
  <r>
    <x v="415"/>
    <s v="Octavio"/>
    <x v="415"/>
    <n v="714491763"/>
    <x v="1"/>
    <x v="649"/>
    <x v="11"/>
    <n v="157.02000000000001"/>
    <x v="0"/>
    <x v="3"/>
    <x v="0"/>
  </r>
  <r>
    <x v="318"/>
    <s v="Begoña"/>
    <x v="318"/>
    <n v="722110763"/>
    <x v="2"/>
    <x v="109"/>
    <x v="13"/>
    <n v="1177.6300000000001"/>
    <x v="0"/>
    <x v="0"/>
    <x v="1"/>
  </r>
  <r>
    <x v="40"/>
    <s v="Elvira"/>
    <x v="40"/>
    <n v="731725140"/>
    <x v="0"/>
    <x v="489"/>
    <x v="1"/>
    <n v="339.63"/>
    <x v="0"/>
    <x v="3"/>
    <x v="1"/>
  </r>
  <r>
    <x v="135"/>
    <s v="Graciana"/>
    <x v="135"/>
    <n v="713699779"/>
    <x v="0"/>
    <x v="188"/>
    <x v="10"/>
    <n v="648.27"/>
    <x v="0"/>
    <x v="1"/>
    <x v="1"/>
  </r>
  <r>
    <x v="476"/>
    <s v="Casandra"/>
    <x v="476"/>
    <n v="631492423"/>
    <x v="1"/>
    <x v="71"/>
    <x v="14"/>
    <n v="365.83"/>
    <x v="0"/>
    <x v="0"/>
    <x v="0"/>
  </r>
  <r>
    <x v="10"/>
    <s v="Samanta"/>
    <x v="10"/>
    <n v="740994031"/>
    <x v="1"/>
    <x v="551"/>
    <x v="4"/>
    <n v="1288.55"/>
    <x v="0"/>
    <x v="1"/>
    <x v="1"/>
  </r>
  <r>
    <x v="349"/>
    <s v="Graciana"/>
    <x v="349"/>
    <n v="732255248"/>
    <x v="0"/>
    <x v="585"/>
    <x v="6"/>
    <n v="1374.37"/>
    <x v="1"/>
    <x v="2"/>
    <x v="1"/>
  </r>
  <r>
    <x v="524"/>
    <s v="Azeneth"/>
    <x v="524"/>
    <n v="727299226"/>
    <x v="0"/>
    <x v="362"/>
    <x v="19"/>
    <n v="991.6"/>
    <x v="0"/>
    <x v="4"/>
    <x v="1"/>
  </r>
  <r>
    <x v="159"/>
    <s v="Reynaldo"/>
    <x v="159"/>
    <n v="723183453"/>
    <x v="2"/>
    <x v="120"/>
    <x v="12"/>
    <n v="182.51"/>
    <x v="0"/>
    <x v="2"/>
    <x v="1"/>
  </r>
  <r>
    <x v="30"/>
    <s v="Florentino"/>
    <x v="30"/>
    <n v="951987392"/>
    <x v="0"/>
    <x v="620"/>
    <x v="7"/>
    <n v="1164.94"/>
    <x v="0"/>
    <x v="4"/>
    <x v="1"/>
  </r>
  <r>
    <x v="512"/>
    <s v="Lola"/>
    <x v="512"/>
    <n v="707166146"/>
    <x v="0"/>
    <x v="71"/>
    <x v="5"/>
    <n v="1669.57"/>
    <x v="0"/>
    <x v="0"/>
    <x v="0"/>
  </r>
  <r>
    <x v="123"/>
    <s v="Eva María"/>
    <x v="123"/>
    <n v="713186177"/>
    <x v="1"/>
    <x v="189"/>
    <x v="2"/>
    <n v="1901.12"/>
    <x v="0"/>
    <x v="4"/>
    <x v="0"/>
  </r>
  <r>
    <x v="525"/>
    <s v="Marcelino"/>
    <x v="525"/>
    <n v="667263226"/>
    <x v="1"/>
    <x v="301"/>
    <x v="2"/>
    <n v="443.45"/>
    <x v="1"/>
    <x v="0"/>
    <x v="1"/>
  </r>
  <r>
    <x v="112"/>
    <s v="Chus"/>
    <x v="112"/>
    <n v="735500587"/>
    <x v="1"/>
    <x v="80"/>
    <x v="13"/>
    <n v="73.58"/>
    <x v="2"/>
    <x v="3"/>
    <x v="0"/>
  </r>
  <r>
    <x v="406"/>
    <s v="Isabel"/>
    <x v="406"/>
    <n v="721786256"/>
    <x v="0"/>
    <x v="202"/>
    <x v="4"/>
    <n v="814.63"/>
    <x v="0"/>
    <x v="2"/>
    <x v="0"/>
  </r>
  <r>
    <x v="164"/>
    <s v="Aránzazu"/>
    <x v="164"/>
    <n v="679029843"/>
    <x v="2"/>
    <x v="119"/>
    <x v="14"/>
    <n v="618.64"/>
    <x v="0"/>
    <x v="2"/>
    <x v="0"/>
  </r>
  <r>
    <x v="508"/>
    <s v="Heriberto"/>
    <x v="508"/>
    <n v="627548062"/>
    <x v="0"/>
    <x v="260"/>
    <x v="7"/>
    <n v="1521.72"/>
    <x v="0"/>
    <x v="2"/>
    <x v="0"/>
  </r>
  <r>
    <x v="526"/>
    <s v="Marisa"/>
    <x v="526"/>
    <n v="738718693"/>
    <x v="1"/>
    <x v="338"/>
    <x v="4"/>
    <n v="1096.4000000000001"/>
    <x v="1"/>
    <x v="3"/>
    <x v="1"/>
  </r>
  <r>
    <x v="438"/>
    <s v="Vera"/>
    <x v="438"/>
    <n v="990539729"/>
    <x v="0"/>
    <x v="429"/>
    <x v="3"/>
    <n v="1493.87"/>
    <x v="0"/>
    <x v="3"/>
    <x v="0"/>
  </r>
  <r>
    <x v="187"/>
    <s v="Belen"/>
    <x v="187"/>
    <n v="741972258"/>
    <x v="0"/>
    <x v="297"/>
    <x v="21"/>
    <n v="1326.75"/>
    <x v="0"/>
    <x v="0"/>
    <x v="0"/>
  </r>
  <r>
    <x v="527"/>
    <s v="Sabina"/>
    <x v="527"/>
    <n v="950491680"/>
    <x v="0"/>
    <x v="602"/>
    <x v="8"/>
    <n v="1787.11"/>
    <x v="0"/>
    <x v="2"/>
    <x v="1"/>
  </r>
  <r>
    <x v="201"/>
    <s v="Azucena"/>
    <x v="201"/>
    <n v="709339074"/>
    <x v="0"/>
    <x v="650"/>
    <x v="12"/>
    <n v="733.3"/>
    <x v="0"/>
    <x v="1"/>
    <x v="0"/>
  </r>
  <r>
    <x v="192"/>
    <s v="Nayara"/>
    <x v="192"/>
    <n v="725966550"/>
    <x v="0"/>
    <x v="80"/>
    <x v="6"/>
    <n v="1106.4100000000001"/>
    <x v="0"/>
    <x v="2"/>
    <x v="0"/>
  </r>
  <r>
    <x v="256"/>
    <s v="Rafaela"/>
    <x v="256"/>
    <n v="725944347"/>
    <x v="1"/>
    <x v="550"/>
    <x v="4"/>
    <n v="1522.54"/>
    <x v="2"/>
    <x v="0"/>
    <x v="1"/>
  </r>
  <r>
    <x v="390"/>
    <s v="Socorro"/>
    <x v="390"/>
    <n v="879206409"/>
    <x v="0"/>
    <x v="262"/>
    <x v="1"/>
    <n v="1658.45"/>
    <x v="0"/>
    <x v="3"/>
    <x v="0"/>
  </r>
  <r>
    <x v="404"/>
    <s v="Ciríaco"/>
    <x v="404"/>
    <n v="915781255"/>
    <x v="2"/>
    <x v="195"/>
    <x v="4"/>
    <n v="1361.26"/>
    <x v="0"/>
    <x v="3"/>
    <x v="1"/>
  </r>
  <r>
    <x v="333"/>
    <s v="Cristian"/>
    <x v="333"/>
    <n v="827325070"/>
    <x v="0"/>
    <x v="87"/>
    <x v="6"/>
    <n v="540.80999999999995"/>
    <x v="0"/>
    <x v="4"/>
    <x v="1"/>
  </r>
  <r>
    <x v="174"/>
    <s v="Paz"/>
    <x v="174"/>
    <n v="803123797"/>
    <x v="0"/>
    <x v="375"/>
    <x v="18"/>
    <n v="1629.43"/>
    <x v="1"/>
    <x v="0"/>
    <x v="0"/>
  </r>
  <r>
    <x v="445"/>
    <s v="Josué"/>
    <x v="445"/>
    <n v="718083036"/>
    <x v="1"/>
    <x v="86"/>
    <x v="6"/>
    <n v="1910.18"/>
    <x v="2"/>
    <x v="1"/>
    <x v="1"/>
  </r>
  <r>
    <x v="60"/>
    <s v="Quirino"/>
    <x v="60"/>
    <n v="739112559"/>
    <x v="0"/>
    <x v="33"/>
    <x v="8"/>
    <n v="100.98"/>
    <x v="0"/>
    <x v="1"/>
    <x v="0"/>
  </r>
  <r>
    <x v="216"/>
    <s v="Ramón"/>
    <x v="216"/>
    <n v="733766125"/>
    <x v="0"/>
    <x v="106"/>
    <x v="1"/>
    <n v="502.03"/>
    <x v="2"/>
    <x v="2"/>
    <x v="1"/>
  </r>
  <r>
    <x v="242"/>
    <s v="Liliana"/>
    <x v="242"/>
    <n v="737596279"/>
    <x v="0"/>
    <x v="318"/>
    <x v="21"/>
    <n v="1156.97"/>
    <x v="0"/>
    <x v="1"/>
    <x v="0"/>
  </r>
  <r>
    <x v="528"/>
    <s v="Ciro"/>
    <x v="528"/>
    <n v="715925073"/>
    <x v="0"/>
    <x v="75"/>
    <x v="4"/>
    <n v="427.91"/>
    <x v="0"/>
    <x v="2"/>
    <x v="1"/>
  </r>
  <r>
    <x v="385"/>
    <s v="Yaiza"/>
    <x v="385"/>
    <n v="639108490"/>
    <x v="0"/>
    <x v="120"/>
    <x v="16"/>
    <n v="1865.08"/>
    <x v="0"/>
    <x v="3"/>
    <x v="0"/>
  </r>
  <r>
    <x v="505"/>
    <s v="Rosenda"/>
    <x v="505"/>
    <n v="749190017"/>
    <x v="1"/>
    <x v="599"/>
    <x v="23"/>
    <n v="291.42"/>
    <x v="0"/>
    <x v="3"/>
    <x v="0"/>
  </r>
  <r>
    <x v="293"/>
    <s v="Toni"/>
    <x v="293"/>
    <n v="869663629"/>
    <x v="0"/>
    <x v="563"/>
    <x v="18"/>
    <n v="635.54999999999995"/>
    <x v="0"/>
    <x v="2"/>
    <x v="1"/>
  </r>
  <r>
    <x v="157"/>
    <s v="Duilio"/>
    <x v="157"/>
    <n v="864373881"/>
    <x v="2"/>
    <x v="419"/>
    <x v="11"/>
    <n v="1718.97"/>
    <x v="0"/>
    <x v="2"/>
    <x v="0"/>
  </r>
  <r>
    <x v="297"/>
    <s v="Clemente"/>
    <x v="297"/>
    <n v="903785899"/>
    <x v="1"/>
    <x v="43"/>
    <x v="12"/>
    <n v="995.84"/>
    <x v="0"/>
    <x v="3"/>
    <x v="0"/>
  </r>
  <r>
    <x v="10"/>
    <s v="Samanta"/>
    <x v="10"/>
    <n v="740994031"/>
    <x v="1"/>
    <x v="270"/>
    <x v="4"/>
    <n v="1875.77"/>
    <x v="0"/>
    <x v="2"/>
    <x v="0"/>
  </r>
  <r>
    <x v="443"/>
    <s v="Bernardita"/>
    <x v="443"/>
    <n v="896166885"/>
    <x v="1"/>
    <x v="144"/>
    <x v="14"/>
    <n v="500.82"/>
    <x v="0"/>
    <x v="1"/>
    <x v="1"/>
  </r>
  <r>
    <x v="186"/>
    <s v="Mohamed"/>
    <x v="186"/>
    <n v="741558653"/>
    <x v="0"/>
    <x v="305"/>
    <x v="3"/>
    <n v="518.85"/>
    <x v="0"/>
    <x v="1"/>
    <x v="0"/>
  </r>
  <r>
    <x v="444"/>
    <s v="Isabela"/>
    <x v="444"/>
    <n v="651807606"/>
    <x v="1"/>
    <x v="380"/>
    <x v="10"/>
    <n v="1891.31"/>
    <x v="0"/>
    <x v="0"/>
    <x v="1"/>
  </r>
  <r>
    <x v="105"/>
    <s v="Sergio"/>
    <x v="105"/>
    <n v="725175634"/>
    <x v="0"/>
    <x v="326"/>
    <x v="2"/>
    <n v="1689.57"/>
    <x v="0"/>
    <x v="2"/>
    <x v="1"/>
  </r>
  <r>
    <x v="400"/>
    <s v="Fabiana"/>
    <x v="400"/>
    <n v="726726630"/>
    <x v="0"/>
    <x v="651"/>
    <x v="8"/>
    <n v="1358.53"/>
    <x v="2"/>
    <x v="5"/>
    <x v="0"/>
  </r>
  <r>
    <x v="183"/>
    <s v="Manu"/>
    <x v="183"/>
    <n v="704105492"/>
    <x v="1"/>
    <x v="238"/>
    <x v="22"/>
    <n v="1510.11"/>
    <x v="0"/>
    <x v="1"/>
    <x v="0"/>
  </r>
  <r>
    <x v="374"/>
    <s v="Lourdes"/>
    <x v="374"/>
    <n v="927530563"/>
    <x v="0"/>
    <x v="190"/>
    <x v="7"/>
    <n v="605.09"/>
    <x v="0"/>
    <x v="0"/>
    <x v="1"/>
  </r>
  <r>
    <x v="357"/>
    <s v="Almudena"/>
    <x v="357"/>
    <n v="742320022"/>
    <x v="0"/>
    <x v="218"/>
    <x v="17"/>
    <n v="944.02"/>
    <x v="0"/>
    <x v="1"/>
    <x v="1"/>
  </r>
  <r>
    <x v="423"/>
    <s v="Nadia"/>
    <x v="423"/>
    <n v="742835812"/>
    <x v="0"/>
    <x v="149"/>
    <x v="3"/>
    <n v="552.13"/>
    <x v="0"/>
    <x v="1"/>
    <x v="1"/>
  </r>
  <r>
    <x v="83"/>
    <s v="Ema"/>
    <x v="83"/>
    <n v="745956596"/>
    <x v="0"/>
    <x v="367"/>
    <x v="19"/>
    <n v="745.1"/>
    <x v="0"/>
    <x v="2"/>
    <x v="1"/>
  </r>
  <r>
    <x v="470"/>
    <s v="Dan"/>
    <x v="470"/>
    <n v="739254068"/>
    <x v="1"/>
    <x v="115"/>
    <x v="7"/>
    <n v="883.7"/>
    <x v="0"/>
    <x v="3"/>
    <x v="0"/>
  </r>
  <r>
    <x v="440"/>
    <s v="Benigna"/>
    <x v="440"/>
    <n v="713916093"/>
    <x v="0"/>
    <x v="598"/>
    <x v="4"/>
    <n v="437.13"/>
    <x v="0"/>
    <x v="1"/>
    <x v="0"/>
  </r>
  <r>
    <x v="219"/>
    <s v="Perlita"/>
    <x v="219"/>
    <n v="690754330"/>
    <x v="0"/>
    <x v="169"/>
    <x v="4"/>
    <n v="1373.17"/>
    <x v="2"/>
    <x v="3"/>
    <x v="0"/>
  </r>
  <r>
    <x v="361"/>
    <s v="Lucila"/>
    <x v="361"/>
    <n v="960053641"/>
    <x v="2"/>
    <x v="320"/>
    <x v="7"/>
    <n v="1158.6400000000001"/>
    <x v="0"/>
    <x v="3"/>
    <x v="0"/>
  </r>
  <r>
    <x v="31"/>
    <s v="Hugo"/>
    <x v="31"/>
    <n v="826663368"/>
    <x v="1"/>
    <x v="572"/>
    <x v="1"/>
    <n v="1052.1400000000001"/>
    <x v="0"/>
    <x v="0"/>
    <x v="0"/>
  </r>
  <r>
    <x v="90"/>
    <s v="Rolando"/>
    <x v="90"/>
    <n v="709840779"/>
    <x v="2"/>
    <x v="649"/>
    <x v="3"/>
    <n v="865.7"/>
    <x v="0"/>
    <x v="2"/>
    <x v="0"/>
  </r>
  <r>
    <x v="249"/>
    <s v="Macaria"/>
    <x v="249"/>
    <n v="740348016"/>
    <x v="0"/>
    <x v="299"/>
    <x v="17"/>
    <n v="993.73"/>
    <x v="0"/>
    <x v="2"/>
    <x v="0"/>
  </r>
  <r>
    <x v="421"/>
    <s v="Visitación"/>
    <x v="421"/>
    <n v="937405090"/>
    <x v="2"/>
    <x v="574"/>
    <x v="12"/>
    <n v="1391.89"/>
    <x v="0"/>
    <x v="1"/>
    <x v="1"/>
  </r>
  <r>
    <x v="260"/>
    <s v="Tomasa"/>
    <x v="260"/>
    <n v="738722817"/>
    <x v="0"/>
    <x v="433"/>
    <x v="23"/>
    <n v="385.55"/>
    <x v="0"/>
    <x v="1"/>
    <x v="0"/>
  </r>
  <r>
    <x v="252"/>
    <s v="Fabián"/>
    <x v="252"/>
    <n v="741931466"/>
    <x v="1"/>
    <x v="627"/>
    <x v="7"/>
    <n v="133.4"/>
    <x v="0"/>
    <x v="3"/>
    <x v="1"/>
  </r>
  <r>
    <x v="148"/>
    <s v="Nicodemo"/>
    <x v="148"/>
    <n v="745350274"/>
    <x v="1"/>
    <x v="194"/>
    <x v="10"/>
    <n v="1388.99"/>
    <x v="0"/>
    <x v="0"/>
    <x v="1"/>
  </r>
  <r>
    <x v="393"/>
    <s v="Alondra"/>
    <x v="393"/>
    <n v="715969206"/>
    <x v="1"/>
    <x v="12"/>
    <x v="1"/>
    <n v="428.24"/>
    <x v="0"/>
    <x v="0"/>
    <x v="1"/>
  </r>
  <r>
    <x v="444"/>
    <s v="Isabela"/>
    <x v="444"/>
    <n v="651807606"/>
    <x v="1"/>
    <x v="432"/>
    <x v="10"/>
    <n v="1264.96"/>
    <x v="0"/>
    <x v="3"/>
    <x v="1"/>
  </r>
  <r>
    <x v="116"/>
    <s v="Ramona"/>
    <x v="116"/>
    <n v="622023254"/>
    <x v="0"/>
    <x v="81"/>
    <x v="13"/>
    <n v="1353.84"/>
    <x v="0"/>
    <x v="4"/>
    <x v="1"/>
  </r>
  <r>
    <x v="9"/>
    <s v="Laura"/>
    <x v="9"/>
    <n v="735998025"/>
    <x v="0"/>
    <x v="54"/>
    <x v="6"/>
    <n v="228.88"/>
    <x v="0"/>
    <x v="2"/>
    <x v="0"/>
  </r>
  <r>
    <x v="105"/>
    <s v="Sergio"/>
    <x v="105"/>
    <n v="725175634"/>
    <x v="0"/>
    <x v="575"/>
    <x v="2"/>
    <n v="1413.3"/>
    <x v="1"/>
    <x v="2"/>
    <x v="1"/>
  </r>
  <r>
    <x v="484"/>
    <s v="Fortunato"/>
    <x v="484"/>
    <n v="983839916"/>
    <x v="1"/>
    <x v="591"/>
    <x v="19"/>
    <n v="1075.27"/>
    <x v="0"/>
    <x v="3"/>
    <x v="1"/>
  </r>
  <r>
    <x v="311"/>
    <s v="Cesar"/>
    <x v="311"/>
    <n v="746264285"/>
    <x v="0"/>
    <x v="527"/>
    <x v="10"/>
    <n v="1566.32"/>
    <x v="0"/>
    <x v="2"/>
    <x v="0"/>
  </r>
  <r>
    <x v="62"/>
    <s v="Jesusa"/>
    <x v="62"/>
    <n v="948373777"/>
    <x v="0"/>
    <x v="16"/>
    <x v="16"/>
    <n v="538.07000000000005"/>
    <x v="0"/>
    <x v="4"/>
    <x v="0"/>
  </r>
  <r>
    <x v="159"/>
    <s v="Reynaldo"/>
    <x v="159"/>
    <n v="723183453"/>
    <x v="2"/>
    <x v="604"/>
    <x v="12"/>
    <n v="1628.42"/>
    <x v="0"/>
    <x v="3"/>
    <x v="1"/>
  </r>
  <r>
    <x v="329"/>
    <s v="Yéssica"/>
    <x v="329"/>
    <n v="720043779"/>
    <x v="0"/>
    <x v="24"/>
    <x v="9"/>
    <n v="1426.95"/>
    <x v="0"/>
    <x v="2"/>
    <x v="1"/>
  </r>
  <r>
    <x v="125"/>
    <s v="Toño"/>
    <x v="125"/>
    <n v="722621294"/>
    <x v="0"/>
    <x v="570"/>
    <x v="2"/>
    <n v="965.36"/>
    <x v="1"/>
    <x v="2"/>
    <x v="0"/>
  </r>
  <r>
    <x v="170"/>
    <s v="Alejo"/>
    <x v="170"/>
    <n v="727278182"/>
    <x v="0"/>
    <x v="652"/>
    <x v="21"/>
    <n v="1823.77"/>
    <x v="0"/>
    <x v="4"/>
    <x v="0"/>
  </r>
  <r>
    <x v="181"/>
    <s v="Pelayo"/>
    <x v="181"/>
    <n v="913421545"/>
    <x v="1"/>
    <x v="38"/>
    <x v="20"/>
    <n v="588.57000000000005"/>
    <x v="0"/>
    <x v="0"/>
    <x v="1"/>
  </r>
  <r>
    <x v="122"/>
    <s v="Sol"/>
    <x v="122"/>
    <n v="911729847"/>
    <x v="1"/>
    <x v="505"/>
    <x v="23"/>
    <n v="1968.1"/>
    <x v="0"/>
    <x v="3"/>
    <x v="0"/>
  </r>
  <r>
    <x v="158"/>
    <s v="Andrés Felipe"/>
    <x v="158"/>
    <n v="703436635"/>
    <x v="0"/>
    <x v="99"/>
    <x v="16"/>
    <n v="1746.33"/>
    <x v="0"/>
    <x v="2"/>
    <x v="1"/>
  </r>
  <r>
    <x v="297"/>
    <s v="Clemente"/>
    <x v="297"/>
    <n v="903785899"/>
    <x v="1"/>
    <x v="139"/>
    <x v="12"/>
    <n v="724.36"/>
    <x v="0"/>
    <x v="3"/>
    <x v="0"/>
  </r>
  <r>
    <x v="378"/>
    <s v="Fermín"/>
    <x v="378"/>
    <n v="809355979"/>
    <x v="0"/>
    <x v="593"/>
    <x v="3"/>
    <n v="891.02"/>
    <x v="1"/>
    <x v="1"/>
    <x v="0"/>
  </r>
  <r>
    <x v="225"/>
    <s v="Maximiliano"/>
    <x v="225"/>
    <n v="644562274"/>
    <x v="0"/>
    <x v="379"/>
    <x v="1"/>
    <n v="1233.8699999999999"/>
    <x v="0"/>
    <x v="1"/>
    <x v="1"/>
  </r>
  <r>
    <x v="500"/>
    <s v="Borja"/>
    <x v="500"/>
    <n v="746674783"/>
    <x v="0"/>
    <x v="254"/>
    <x v="1"/>
    <n v="1958.59"/>
    <x v="0"/>
    <x v="2"/>
    <x v="1"/>
  </r>
  <r>
    <x v="235"/>
    <s v="Rosa María"/>
    <x v="235"/>
    <n v="725307458"/>
    <x v="0"/>
    <x v="485"/>
    <x v="15"/>
    <n v="1474.99"/>
    <x v="0"/>
    <x v="1"/>
    <x v="1"/>
  </r>
  <r>
    <x v="312"/>
    <s v="Lara"/>
    <x v="312"/>
    <n v="729651240"/>
    <x v="0"/>
    <x v="535"/>
    <x v="12"/>
    <n v="1984.15"/>
    <x v="2"/>
    <x v="1"/>
    <x v="1"/>
  </r>
  <r>
    <x v="84"/>
    <s v="Daniel"/>
    <x v="84"/>
    <n v="733027275"/>
    <x v="1"/>
    <x v="265"/>
    <x v="17"/>
    <n v="1628.01"/>
    <x v="2"/>
    <x v="0"/>
    <x v="0"/>
  </r>
  <r>
    <x v="474"/>
    <s v="Heraclio"/>
    <x v="474"/>
    <n v="879657385"/>
    <x v="0"/>
    <x v="460"/>
    <x v="22"/>
    <n v="1646.91"/>
    <x v="0"/>
    <x v="2"/>
    <x v="1"/>
  </r>
  <r>
    <x v="529"/>
    <s v="Dorita"/>
    <x v="529"/>
    <n v="724379169"/>
    <x v="1"/>
    <x v="346"/>
    <x v="16"/>
    <n v="436.79"/>
    <x v="0"/>
    <x v="0"/>
    <x v="0"/>
  </r>
  <r>
    <x v="440"/>
    <s v="Benigna"/>
    <x v="440"/>
    <n v="713916093"/>
    <x v="0"/>
    <x v="230"/>
    <x v="4"/>
    <n v="1325.32"/>
    <x v="0"/>
    <x v="1"/>
    <x v="1"/>
  </r>
  <r>
    <x v="354"/>
    <s v="Quirino"/>
    <x v="354"/>
    <n v="646104560"/>
    <x v="0"/>
    <x v="379"/>
    <x v="19"/>
    <n v="307.7"/>
    <x v="0"/>
    <x v="1"/>
    <x v="1"/>
  </r>
  <r>
    <x v="13"/>
    <s v="Roque"/>
    <x v="13"/>
    <n v="667768968"/>
    <x v="0"/>
    <x v="548"/>
    <x v="8"/>
    <n v="791.37"/>
    <x v="0"/>
    <x v="4"/>
    <x v="1"/>
  </r>
  <r>
    <x v="510"/>
    <s v="Evangelina"/>
    <x v="510"/>
    <n v="717884174"/>
    <x v="0"/>
    <x v="230"/>
    <x v="16"/>
    <n v="235.83"/>
    <x v="0"/>
    <x v="3"/>
    <x v="0"/>
  </r>
  <r>
    <x v="225"/>
    <s v="Maximiliano"/>
    <x v="225"/>
    <n v="644562274"/>
    <x v="0"/>
    <x v="142"/>
    <x v="1"/>
    <n v="1412.56"/>
    <x v="0"/>
    <x v="1"/>
    <x v="1"/>
  </r>
  <r>
    <x v="300"/>
    <s v="Cintia"/>
    <x v="300"/>
    <n v="730098459"/>
    <x v="0"/>
    <x v="551"/>
    <x v="10"/>
    <n v="1129.92"/>
    <x v="0"/>
    <x v="1"/>
    <x v="1"/>
  </r>
  <r>
    <x v="314"/>
    <s v="Selena"/>
    <x v="314"/>
    <n v="996771143"/>
    <x v="0"/>
    <x v="283"/>
    <x v="3"/>
    <n v="1859.66"/>
    <x v="0"/>
    <x v="2"/>
    <x v="1"/>
  </r>
  <r>
    <x v="165"/>
    <s v="Pancho"/>
    <x v="165"/>
    <n v="745695976"/>
    <x v="0"/>
    <x v="251"/>
    <x v="0"/>
    <n v="329.73"/>
    <x v="0"/>
    <x v="1"/>
    <x v="0"/>
  </r>
  <r>
    <x v="197"/>
    <s v="Alfredo"/>
    <x v="197"/>
    <n v="710390333"/>
    <x v="1"/>
    <x v="211"/>
    <x v="6"/>
    <n v="854.28"/>
    <x v="0"/>
    <x v="3"/>
    <x v="1"/>
  </r>
  <r>
    <x v="80"/>
    <s v="Leonel"/>
    <x v="80"/>
    <n v="816160530"/>
    <x v="1"/>
    <x v="587"/>
    <x v="19"/>
    <n v="758.9"/>
    <x v="0"/>
    <x v="3"/>
    <x v="1"/>
  </r>
  <r>
    <x v="530"/>
    <s v="Yésica"/>
    <x v="530"/>
    <n v="730400662"/>
    <x v="0"/>
    <x v="226"/>
    <x v="13"/>
    <n v="1415.52"/>
    <x v="0"/>
    <x v="0"/>
    <x v="0"/>
  </r>
  <r>
    <x v="163"/>
    <s v="Teresita"/>
    <x v="163"/>
    <n v="693949039"/>
    <x v="0"/>
    <x v="220"/>
    <x v="10"/>
    <n v="431.92"/>
    <x v="0"/>
    <x v="1"/>
    <x v="0"/>
  </r>
  <r>
    <x v="293"/>
    <s v="Toni"/>
    <x v="293"/>
    <n v="869663629"/>
    <x v="0"/>
    <x v="141"/>
    <x v="18"/>
    <n v="1056.32"/>
    <x v="0"/>
    <x v="2"/>
    <x v="0"/>
  </r>
  <r>
    <x v="13"/>
    <s v="Roque"/>
    <x v="13"/>
    <n v="667768968"/>
    <x v="0"/>
    <x v="631"/>
    <x v="8"/>
    <n v="361.91"/>
    <x v="0"/>
    <x v="1"/>
    <x v="0"/>
  </r>
  <r>
    <x v="346"/>
    <s v="Blanca"/>
    <x v="346"/>
    <n v="858084159"/>
    <x v="2"/>
    <x v="155"/>
    <x v="2"/>
    <n v="830.59"/>
    <x v="0"/>
    <x v="1"/>
    <x v="0"/>
  </r>
  <r>
    <x v="47"/>
    <s v="Nicodemo"/>
    <x v="47"/>
    <n v="706921192"/>
    <x v="2"/>
    <x v="386"/>
    <x v="19"/>
    <n v="1057.3599999999999"/>
    <x v="0"/>
    <x v="3"/>
    <x v="1"/>
  </r>
  <r>
    <x v="471"/>
    <s v="Lupe"/>
    <x v="471"/>
    <n v="736243040"/>
    <x v="0"/>
    <x v="552"/>
    <x v="19"/>
    <n v="1658.95"/>
    <x v="1"/>
    <x v="0"/>
    <x v="1"/>
  </r>
  <r>
    <x v="134"/>
    <s v="Reynaldo"/>
    <x v="134"/>
    <n v="633388134"/>
    <x v="0"/>
    <x v="236"/>
    <x v="18"/>
    <n v="1139.51"/>
    <x v="0"/>
    <x v="2"/>
    <x v="1"/>
  </r>
  <r>
    <x v="393"/>
    <s v="Alondra"/>
    <x v="393"/>
    <n v="715969206"/>
    <x v="1"/>
    <x v="185"/>
    <x v="1"/>
    <n v="1918.57"/>
    <x v="0"/>
    <x v="0"/>
    <x v="0"/>
  </r>
  <r>
    <x v="508"/>
    <s v="Heriberto"/>
    <x v="508"/>
    <n v="627548062"/>
    <x v="0"/>
    <x v="570"/>
    <x v="7"/>
    <n v="532.21"/>
    <x v="0"/>
    <x v="3"/>
    <x v="1"/>
  </r>
  <r>
    <x v="71"/>
    <s v="Régulo"/>
    <x v="71"/>
    <n v="841231253"/>
    <x v="0"/>
    <x v="294"/>
    <x v="10"/>
    <n v="1955.38"/>
    <x v="2"/>
    <x v="4"/>
    <x v="0"/>
  </r>
  <r>
    <x v="292"/>
    <s v="Carmen"/>
    <x v="292"/>
    <n v="921591687"/>
    <x v="0"/>
    <x v="610"/>
    <x v="1"/>
    <n v="614.07000000000005"/>
    <x v="0"/>
    <x v="1"/>
    <x v="0"/>
  </r>
  <r>
    <x v="96"/>
    <s v="Angelita"/>
    <x v="96"/>
    <n v="749724328"/>
    <x v="0"/>
    <x v="105"/>
    <x v="23"/>
    <n v="1827.97"/>
    <x v="0"/>
    <x v="1"/>
    <x v="1"/>
  </r>
  <r>
    <x v="203"/>
    <s v="Manu"/>
    <x v="203"/>
    <n v="739067408"/>
    <x v="0"/>
    <x v="148"/>
    <x v="12"/>
    <n v="891.69"/>
    <x v="0"/>
    <x v="0"/>
    <x v="1"/>
  </r>
  <r>
    <x v="64"/>
    <s v="Julie"/>
    <x v="64"/>
    <n v="706050514"/>
    <x v="0"/>
    <x v="259"/>
    <x v="10"/>
    <n v="823.85"/>
    <x v="2"/>
    <x v="2"/>
    <x v="0"/>
  </r>
  <r>
    <x v="54"/>
    <s v="Pascual"/>
    <x v="54"/>
    <n v="743862708"/>
    <x v="0"/>
    <x v="142"/>
    <x v="8"/>
    <n v="1134.8900000000001"/>
    <x v="1"/>
    <x v="2"/>
    <x v="0"/>
  </r>
  <r>
    <x v="116"/>
    <s v="Ramona"/>
    <x v="116"/>
    <n v="622023254"/>
    <x v="0"/>
    <x v="653"/>
    <x v="13"/>
    <n v="659.26"/>
    <x v="0"/>
    <x v="2"/>
    <x v="1"/>
  </r>
  <r>
    <x v="248"/>
    <s v="Fabián"/>
    <x v="248"/>
    <n v="728722101"/>
    <x v="0"/>
    <x v="636"/>
    <x v="3"/>
    <n v="1128.74"/>
    <x v="0"/>
    <x v="3"/>
    <x v="1"/>
  </r>
  <r>
    <x v="241"/>
    <s v="Jaime"/>
    <x v="241"/>
    <n v="708355930"/>
    <x v="0"/>
    <x v="379"/>
    <x v="19"/>
    <n v="631.34"/>
    <x v="0"/>
    <x v="1"/>
    <x v="1"/>
  </r>
  <r>
    <x v="115"/>
    <s v="Leandro"/>
    <x v="115"/>
    <n v="717637012"/>
    <x v="1"/>
    <x v="654"/>
    <x v="20"/>
    <n v="499.95"/>
    <x v="0"/>
    <x v="3"/>
    <x v="1"/>
  </r>
  <r>
    <x v="238"/>
    <s v="Magdalena"/>
    <x v="238"/>
    <n v="650924818"/>
    <x v="1"/>
    <x v="98"/>
    <x v="17"/>
    <n v="1350.68"/>
    <x v="0"/>
    <x v="3"/>
    <x v="1"/>
  </r>
  <r>
    <x v="385"/>
    <s v="Yaiza"/>
    <x v="385"/>
    <n v="639108490"/>
    <x v="0"/>
    <x v="176"/>
    <x v="16"/>
    <n v="1213.49"/>
    <x v="0"/>
    <x v="2"/>
    <x v="1"/>
  </r>
  <r>
    <x v="347"/>
    <s v="Perla"/>
    <x v="347"/>
    <n v="828808869"/>
    <x v="0"/>
    <x v="33"/>
    <x v="2"/>
    <n v="211.87"/>
    <x v="0"/>
    <x v="5"/>
    <x v="0"/>
  </r>
  <r>
    <x v="203"/>
    <s v="Manu"/>
    <x v="203"/>
    <n v="739067408"/>
    <x v="0"/>
    <x v="549"/>
    <x v="12"/>
    <n v="1854.85"/>
    <x v="0"/>
    <x v="1"/>
    <x v="0"/>
  </r>
  <r>
    <x v="456"/>
    <s v="Ambrosio"/>
    <x v="456"/>
    <n v="667187938"/>
    <x v="1"/>
    <x v="501"/>
    <x v="4"/>
    <n v="363.73"/>
    <x v="0"/>
    <x v="0"/>
    <x v="1"/>
  </r>
  <r>
    <x v="111"/>
    <s v="Maximino"/>
    <x v="111"/>
    <n v="719370887"/>
    <x v="1"/>
    <x v="200"/>
    <x v="14"/>
    <n v="341.41"/>
    <x v="0"/>
    <x v="4"/>
    <x v="0"/>
  </r>
  <r>
    <x v="325"/>
    <s v="Angélica"/>
    <x v="325"/>
    <n v="722196891"/>
    <x v="2"/>
    <x v="624"/>
    <x v="14"/>
    <n v="1272.47"/>
    <x v="0"/>
    <x v="4"/>
    <x v="0"/>
  </r>
  <r>
    <x v="70"/>
    <s v="Olalla"/>
    <x v="70"/>
    <n v="701055024"/>
    <x v="0"/>
    <x v="549"/>
    <x v="18"/>
    <n v="1485.85"/>
    <x v="0"/>
    <x v="2"/>
    <x v="1"/>
  </r>
  <r>
    <x v="531"/>
    <s v="Crescencia"/>
    <x v="531"/>
    <n v="723112922"/>
    <x v="0"/>
    <x v="77"/>
    <x v="10"/>
    <n v="1224.3499999999999"/>
    <x v="0"/>
    <x v="4"/>
    <x v="0"/>
  </r>
  <r>
    <x v="410"/>
    <s v="Rufino"/>
    <x v="410"/>
    <n v="730694210"/>
    <x v="1"/>
    <x v="58"/>
    <x v="3"/>
    <n v="172"/>
    <x v="0"/>
    <x v="5"/>
    <x v="0"/>
  </r>
  <r>
    <x v="150"/>
    <s v="Rogelio"/>
    <x v="150"/>
    <n v="702416899"/>
    <x v="1"/>
    <x v="18"/>
    <x v="1"/>
    <n v="61.56"/>
    <x v="0"/>
    <x v="5"/>
    <x v="0"/>
  </r>
  <r>
    <x v="526"/>
    <s v="Marisa"/>
    <x v="526"/>
    <n v="738718693"/>
    <x v="1"/>
    <x v="469"/>
    <x v="4"/>
    <n v="1969.81"/>
    <x v="0"/>
    <x v="3"/>
    <x v="1"/>
  </r>
  <r>
    <x v="375"/>
    <s v="Eutropio"/>
    <x v="375"/>
    <n v="639659594"/>
    <x v="0"/>
    <x v="610"/>
    <x v="15"/>
    <n v="1717.32"/>
    <x v="0"/>
    <x v="2"/>
    <x v="1"/>
  </r>
  <r>
    <x v="331"/>
    <s v="Balduino"/>
    <x v="331"/>
    <n v="723768512"/>
    <x v="0"/>
    <x v="655"/>
    <x v="13"/>
    <n v="1124.26"/>
    <x v="0"/>
    <x v="4"/>
    <x v="0"/>
  </r>
  <r>
    <x v="251"/>
    <s v="Yéssica"/>
    <x v="251"/>
    <n v="933910652"/>
    <x v="1"/>
    <x v="593"/>
    <x v="7"/>
    <n v="1710.93"/>
    <x v="0"/>
    <x v="3"/>
    <x v="1"/>
  </r>
  <r>
    <x v="532"/>
    <s v="María Jesús"/>
    <x v="532"/>
    <n v="735519380"/>
    <x v="0"/>
    <x v="466"/>
    <x v="0"/>
    <n v="649.73"/>
    <x v="0"/>
    <x v="4"/>
    <x v="1"/>
  </r>
  <r>
    <x v="50"/>
    <s v="Brunilda"/>
    <x v="50"/>
    <n v="715742102"/>
    <x v="0"/>
    <x v="91"/>
    <x v="6"/>
    <n v="1809.4"/>
    <x v="0"/>
    <x v="1"/>
    <x v="0"/>
  </r>
  <r>
    <x v="61"/>
    <s v="José Ángel"/>
    <x v="61"/>
    <n v="748347564"/>
    <x v="1"/>
    <x v="271"/>
    <x v="4"/>
    <n v="1711.07"/>
    <x v="0"/>
    <x v="0"/>
    <x v="0"/>
  </r>
  <r>
    <x v="284"/>
    <s v="Gonzalo"/>
    <x v="284"/>
    <n v="701325298"/>
    <x v="0"/>
    <x v="224"/>
    <x v="7"/>
    <n v="1308.18"/>
    <x v="0"/>
    <x v="3"/>
    <x v="1"/>
  </r>
  <r>
    <x v="416"/>
    <s v="Georgina"/>
    <x v="416"/>
    <n v="745334445"/>
    <x v="1"/>
    <x v="19"/>
    <x v="10"/>
    <n v="1931.43"/>
    <x v="0"/>
    <x v="1"/>
    <x v="0"/>
  </r>
  <r>
    <x v="266"/>
    <s v="Maricela"/>
    <x v="266"/>
    <n v="721979865"/>
    <x v="0"/>
    <x v="413"/>
    <x v="18"/>
    <n v="293.99"/>
    <x v="0"/>
    <x v="1"/>
    <x v="0"/>
  </r>
  <r>
    <x v="186"/>
    <s v="Mohamed"/>
    <x v="186"/>
    <n v="741558653"/>
    <x v="0"/>
    <x v="32"/>
    <x v="3"/>
    <n v="500.05"/>
    <x v="0"/>
    <x v="4"/>
    <x v="0"/>
  </r>
  <r>
    <x v="533"/>
    <s v="Dionisia"/>
    <x v="533"/>
    <n v="702403846"/>
    <x v="1"/>
    <x v="529"/>
    <x v="22"/>
    <n v="1135.3"/>
    <x v="0"/>
    <x v="3"/>
    <x v="1"/>
  </r>
  <r>
    <x v="210"/>
    <s v="Silvio"/>
    <x v="210"/>
    <n v="720839974"/>
    <x v="0"/>
    <x v="504"/>
    <x v="20"/>
    <n v="686"/>
    <x v="0"/>
    <x v="2"/>
    <x v="0"/>
  </r>
  <r>
    <x v="184"/>
    <s v="Matilde"/>
    <x v="184"/>
    <n v="716908291"/>
    <x v="0"/>
    <x v="432"/>
    <x v="9"/>
    <n v="416.39"/>
    <x v="0"/>
    <x v="2"/>
    <x v="0"/>
  </r>
  <r>
    <x v="534"/>
    <s v="Yolanda"/>
    <x v="534"/>
    <n v="706587721"/>
    <x v="0"/>
    <x v="656"/>
    <x v="11"/>
    <n v="1359.83"/>
    <x v="0"/>
    <x v="2"/>
    <x v="1"/>
  </r>
  <r>
    <x v="170"/>
    <s v="Alejo"/>
    <x v="170"/>
    <n v="727278182"/>
    <x v="0"/>
    <x v="540"/>
    <x v="21"/>
    <n v="912.49"/>
    <x v="0"/>
    <x v="1"/>
    <x v="1"/>
  </r>
  <r>
    <x v="514"/>
    <s v="Conrado"/>
    <x v="514"/>
    <n v="743295032"/>
    <x v="0"/>
    <x v="281"/>
    <x v="15"/>
    <n v="1265.26"/>
    <x v="1"/>
    <x v="1"/>
    <x v="1"/>
  </r>
  <r>
    <x v="290"/>
    <s v="Claudio"/>
    <x v="290"/>
    <n v="955471414"/>
    <x v="0"/>
    <x v="562"/>
    <x v="22"/>
    <n v="1978.46"/>
    <x v="0"/>
    <x v="2"/>
    <x v="1"/>
  </r>
  <r>
    <x v="45"/>
    <s v="Maxi"/>
    <x v="45"/>
    <n v="726799934"/>
    <x v="1"/>
    <x v="429"/>
    <x v="7"/>
    <n v="1790.85"/>
    <x v="0"/>
    <x v="0"/>
    <x v="0"/>
  </r>
  <r>
    <x v="72"/>
    <s v="Enrique"/>
    <x v="72"/>
    <n v="713291022"/>
    <x v="2"/>
    <x v="294"/>
    <x v="2"/>
    <n v="603.47"/>
    <x v="0"/>
    <x v="2"/>
    <x v="0"/>
  </r>
  <r>
    <x v="292"/>
    <s v="Carmen"/>
    <x v="292"/>
    <n v="921591687"/>
    <x v="0"/>
    <x v="657"/>
    <x v="1"/>
    <n v="1635.75"/>
    <x v="0"/>
    <x v="2"/>
    <x v="0"/>
  </r>
  <r>
    <x v="468"/>
    <s v="Tito"/>
    <x v="468"/>
    <n v="748753252"/>
    <x v="0"/>
    <x v="309"/>
    <x v="8"/>
    <n v="1063.29"/>
    <x v="0"/>
    <x v="1"/>
    <x v="1"/>
  </r>
  <r>
    <x v="367"/>
    <s v="Maristela"/>
    <x v="367"/>
    <n v="985194664"/>
    <x v="0"/>
    <x v="23"/>
    <x v="2"/>
    <n v="428.48"/>
    <x v="0"/>
    <x v="1"/>
    <x v="0"/>
  </r>
  <r>
    <x v="361"/>
    <s v="Lucila"/>
    <x v="361"/>
    <n v="960053641"/>
    <x v="2"/>
    <x v="54"/>
    <x v="7"/>
    <n v="453.11"/>
    <x v="0"/>
    <x v="3"/>
    <x v="1"/>
  </r>
  <r>
    <x v="20"/>
    <s v="Leticia"/>
    <x v="20"/>
    <n v="747259283"/>
    <x v="0"/>
    <x v="137"/>
    <x v="12"/>
    <n v="461.91"/>
    <x v="0"/>
    <x v="3"/>
    <x v="0"/>
  </r>
  <r>
    <x v="306"/>
    <s v="Eladio"/>
    <x v="306"/>
    <n v="971399015"/>
    <x v="1"/>
    <x v="286"/>
    <x v="18"/>
    <n v="1812.78"/>
    <x v="0"/>
    <x v="0"/>
    <x v="1"/>
  </r>
  <r>
    <x v="497"/>
    <s v="Obdulia"/>
    <x v="497"/>
    <n v="718769258"/>
    <x v="1"/>
    <x v="181"/>
    <x v="11"/>
    <n v="1560.22"/>
    <x v="0"/>
    <x v="3"/>
    <x v="1"/>
  </r>
  <r>
    <x v="535"/>
    <s v="Nazario"/>
    <x v="535"/>
    <n v="722429412"/>
    <x v="0"/>
    <x v="287"/>
    <x v="20"/>
    <n v="1240.82"/>
    <x v="0"/>
    <x v="3"/>
    <x v="1"/>
  </r>
  <r>
    <x v="516"/>
    <s v="Corona"/>
    <x v="516"/>
    <n v="718841855"/>
    <x v="1"/>
    <x v="438"/>
    <x v="6"/>
    <n v="901.19"/>
    <x v="0"/>
    <x v="1"/>
    <x v="0"/>
  </r>
  <r>
    <x v="40"/>
    <s v="Elvira"/>
    <x v="40"/>
    <n v="731725140"/>
    <x v="0"/>
    <x v="409"/>
    <x v="1"/>
    <n v="1214.8900000000001"/>
    <x v="0"/>
    <x v="3"/>
    <x v="0"/>
  </r>
  <r>
    <x v="393"/>
    <s v="Alondra"/>
    <x v="393"/>
    <n v="715969206"/>
    <x v="1"/>
    <x v="52"/>
    <x v="1"/>
    <n v="478.4"/>
    <x v="0"/>
    <x v="4"/>
    <x v="0"/>
  </r>
  <r>
    <x v="275"/>
    <s v="María"/>
    <x v="275"/>
    <n v="919457468"/>
    <x v="0"/>
    <x v="330"/>
    <x v="10"/>
    <n v="1911.65"/>
    <x v="0"/>
    <x v="0"/>
    <x v="0"/>
  </r>
  <r>
    <x v="413"/>
    <s v="Tadeo"/>
    <x v="413"/>
    <n v="865720278"/>
    <x v="0"/>
    <x v="587"/>
    <x v="7"/>
    <n v="1779.54"/>
    <x v="0"/>
    <x v="2"/>
    <x v="0"/>
  </r>
  <r>
    <x v="470"/>
    <s v="Dan"/>
    <x v="470"/>
    <n v="739254068"/>
    <x v="1"/>
    <x v="51"/>
    <x v="7"/>
    <n v="1857.88"/>
    <x v="1"/>
    <x v="1"/>
    <x v="0"/>
  </r>
  <r>
    <x v="208"/>
    <s v="Sarita"/>
    <x v="208"/>
    <n v="748297259"/>
    <x v="0"/>
    <x v="634"/>
    <x v="11"/>
    <n v="898.02"/>
    <x v="0"/>
    <x v="2"/>
    <x v="0"/>
  </r>
  <r>
    <x v="378"/>
    <s v="Fermín"/>
    <x v="378"/>
    <n v="809355979"/>
    <x v="0"/>
    <x v="432"/>
    <x v="3"/>
    <n v="1141.6500000000001"/>
    <x v="0"/>
    <x v="2"/>
    <x v="1"/>
  </r>
  <r>
    <x v="201"/>
    <s v="Azucena"/>
    <x v="201"/>
    <n v="709339074"/>
    <x v="0"/>
    <x v="508"/>
    <x v="12"/>
    <n v="506.92"/>
    <x v="0"/>
    <x v="3"/>
    <x v="1"/>
  </r>
  <r>
    <x v="365"/>
    <s v="Fanny"/>
    <x v="365"/>
    <n v="974043470"/>
    <x v="1"/>
    <x v="403"/>
    <x v="1"/>
    <n v="832.56"/>
    <x v="0"/>
    <x v="4"/>
    <x v="0"/>
  </r>
  <r>
    <x v="345"/>
    <s v="Gregorio"/>
    <x v="345"/>
    <n v="646689911"/>
    <x v="0"/>
    <x v="534"/>
    <x v="6"/>
    <n v="1334.39"/>
    <x v="0"/>
    <x v="5"/>
    <x v="0"/>
  </r>
  <r>
    <x v="440"/>
    <s v="Benigna"/>
    <x v="440"/>
    <n v="713916093"/>
    <x v="0"/>
    <x v="176"/>
    <x v="4"/>
    <n v="241.94"/>
    <x v="0"/>
    <x v="4"/>
    <x v="1"/>
  </r>
  <r>
    <x v="82"/>
    <s v="José Luis"/>
    <x v="82"/>
    <n v="703546596"/>
    <x v="1"/>
    <x v="649"/>
    <x v="9"/>
    <n v="1043.73"/>
    <x v="0"/>
    <x v="3"/>
    <x v="1"/>
  </r>
  <r>
    <x v="78"/>
    <s v="Lino"/>
    <x v="78"/>
    <n v="699605788"/>
    <x v="1"/>
    <x v="521"/>
    <x v="7"/>
    <n v="948.58"/>
    <x v="0"/>
    <x v="3"/>
    <x v="1"/>
  </r>
  <r>
    <x v="536"/>
    <s v="Lorenza"/>
    <x v="536"/>
    <n v="650283493"/>
    <x v="1"/>
    <x v="106"/>
    <x v="19"/>
    <n v="39.090000000000003"/>
    <x v="0"/>
    <x v="3"/>
    <x v="1"/>
  </r>
  <r>
    <x v="351"/>
    <s v="Piedad"/>
    <x v="351"/>
    <n v="741286548"/>
    <x v="1"/>
    <x v="36"/>
    <x v="8"/>
    <n v="665.78"/>
    <x v="0"/>
    <x v="3"/>
    <x v="0"/>
  </r>
  <r>
    <x v="283"/>
    <s v="María Fernanda"/>
    <x v="283"/>
    <n v="735892521"/>
    <x v="1"/>
    <x v="610"/>
    <x v="0"/>
    <n v="1660.47"/>
    <x v="1"/>
    <x v="0"/>
    <x v="1"/>
  </r>
  <r>
    <x v="186"/>
    <s v="Mohamed"/>
    <x v="186"/>
    <n v="741558653"/>
    <x v="0"/>
    <x v="335"/>
    <x v="3"/>
    <n v="1186.4000000000001"/>
    <x v="0"/>
    <x v="2"/>
    <x v="1"/>
  </r>
  <r>
    <x v="91"/>
    <s v="Chita"/>
    <x v="91"/>
    <n v="702654485"/>
    <x v="0"/>
    <x v="445"/>
    <x v="2"/>
    <n v="1722.98"/>
    <x v="0"/>
    <x v="1"/>
    <x v="0"/>
  </r>
  <r>
    <x v="31"/>
    <s v="Hugo"/>
    <x v="31"/>
    <n v="826663368"/>
    <x v="1"/>
    <x v="637"/>
    <x v="1"/>
    <n v="132.75"/>
    <x v="0"/>
    <x v="3"/>
    <x v="1"/>
  </r>
  <r>
    <x v="273"/>
    <s v="Ligia"/>
    <x v="273"/>
    <n v="721305080"/>
    <x v="2"/>
    <x v="582"/>
    <x v="22"/>
    <n v="599.6"/>
    <x v="0"/>
    <x v="4"/>
    <x v="0"/>
  </r>
  <r>
    <x v="220"/>
    <s v="Simón"/>
    <x v="220"/>
    <n v="728581458"/>
    <x v="0"/>
    <x v="248"/>
    <x v="11"/>
    <n v="1011.23"/>
    <x v="0"/>
    <x v="2"/>
    <x v="0"/>
  </r>
  <r>
    <x v="324"/>
    <s v="Ascensión"/>
    <x v="324"/>
    <n v="733329234"/>
    <x v="1"/>
    <x v="385"/>
    <x v="15"/>
    <n v="651.79999999999995"/>
    <x v="0"/>
    <x v="4"/>
    <x v="0"/>
  </r>
  <r>
    <x v="314"/>
    <s v="Selena"/>
    <x v="314"/>
    <n v="996771143"/>
    <x v="0"/>
    <x v="55"/>
    <x v="3"/>
    <n v="1026.23"/>
    <x v="0"/>
    <x v="0"/>
    <x v="1"/>
  </r>
  <r>
    <x v="403"/>
    <s v="Armida"/>
    <x v="403"/>
    <n v="942844383"/>
    <x v="0"/>
    <x v="350"/>
    <x v="13"/>
    <n v="1315.09"/>
    <x v="0"/>
    <x v="0"/>
    <x v="1"/>
  </r>
  <r>
    <x v="506"/>
    <s v="Apolonia"/>
    <x v="506"/>
    <n v="913698982"/>
    <x v="1"/>
    <x v="280"/>
    <x v="10"/>
    <n v="1419.86"/>
    <x v="0"/>
    <x v="1"/>
    <x v="0"/>
  </r>
  <r>
    <x v="47"/>
    <s v="Nicodemo"/>
    <x v="47"/>
    <n v="706921192"/>
    <x v="2"/>
    <x v="114"/>
    <x v="19"/>
    <n v="1892.45"/>
    <x v="0"/>
    <x v="3"/>
    <x v="0"/>
  </r>
  <r>
    <x v="101"/>
    <s v="Felix"/>
    <x v="101"/>
    <n v="749804420"/>
    <x v="1"/>
    <x v="483"/>
    <x v="23"/>
    <n v="731.7"/>
    <x v="0"/>
    <x v="3"/>
    <x v="0"/>
  </r>
  <r>
    <x v="537"/>
    <s v="Pacífica"/>
    <x v="537"/>
    <n v="734239782"/>
    <x v="0"/>
    <x v="37"/>
    <x v="7"/>
    <n v="875.52"/>
    <x v="0"/>
    <x v="1"/>
    <x v="1"/>
  </r>
  <r>
    <x v="401"/>
    <s v="Cayetana"/>
    <x v="401"/>
    <n v="805450275"/>
    <x v="2"/>
    <x v="338"/>
    <x v="14"/>
    <n v="605.24"/>
    <x v="1"/>
    <x v="1"/>
    <x v="1"/>
  </r>
  <r>
    <x v="99"/>
    <s v="Leyre"/>
    <x v="99"/>
    <n v="649943369"/>
    <x v="1"/>
    <x v="353"/>
    <x v="5"/>
    <n v="734.11"/>
    <x v="0"/>
    <x v="0"/>
    <x v="1"/>
  </r>
  <r>
    <x v="352"/>
    <s v="Concepción"/>
    <x v="352"/>
    <n v="717920847"/>
    <x v="0"/>
    <x v="364"/>
    <x v="7"/>
    <n v="67.02"/>
    <x v="0"/>
    <x v="2"/>
    <x v="1"/>
  </r>
  <r>
    <x v="49"/>
    <s v="Priscila"/>
    <x v="49"/>
    <n v="708646101"/>
    <x v="0"/>
    <x v="308"/>
    <x v="0"/>
    <n v="224.05"/>
    <x v="2"/>
    <x v="2"/>
    <x v="0"/>
  </r>
  <r>
    <x v="302"/>
    <s v="Bernabé"/>
    <x v="302"/>
    <n v="996279256"/>
    <x v="0"/>
    <x v="100"/>
    <x v="15"/>
    <n v="871.51"/>
    <x v="0"/>
    <x v="3"/>
    <x v="0"/>
  </r>
  <r>
    <x v="352"/>
    <s v="Concepción"/>
    <x v="352"/>
    <n v="717920847"/>
    <x v="0"/>
    <x v="269"/>
    <x v="7"/>
    <n v="1662.32"/>
    <x v="0"/>
    <x v="4"/>
    <x v="1"/>
  </r>
  <r>
    <x v="29"/>
    <s v="Sebastián"/>
    <x v="29"/>
    <n v="727899933"/>
    <x v="1"/>
    <x v="343"/>
    <x v="8"/>
    <n v="1953"/>
    <x v="0"/>
    <x v="1"/>
    <x v="0"/>
  </r>
  <r>
    <x v="519"/>
    <s v="Amor"/>
    <x v="519"/>
    <n v="856224115"/>
    <x v="1"/>
    <x v="591"/>
    <x v="14"/>
    <n v="518.79999999999995"/>
    <x v="0"/>
    <x v="2"/>
    <x v="0"/>
  </r>
  <r>
    <x v="374"/>
    <s v="Lourdes"/>
    <x v="374"/>
    <n v="927530563"/>
    <x v="0"/>
    <x v="97"/>
    <x v="7"/>
    <n v="1957.04"/>
    <x v="0"/>
    <x v="2"/>
    <x v="1"/>
  </r>
  <r>
    <x v="116"/>
    <s v="Ramona"/>
    <x v="116"/>
    <n v="622023254"/>
    <x v="0"/>
    <x v="11"/>
    <x v="13"/>
    <n v="330.25"/>
    <x v="0"/>
    <x v="3"/>
    <x v="0"/>
  </r>
  <r>
    <x v="391"/>
    <s v="Cipriano"/>
    <x v="391"/>
    <n v="877322134"/>
    <x v="1"/>
    <x v="142"/>
    <x v="5"/>
    <n v="340.55"/>
    <x v="0"/>
    <x v="3"/>
    <x v="0"/>
  </r>
  <r>
    <x v="306"/>
    <s v="Eladio"/>
    <x v="306"/>
    <n v="971399015"/>
    <x v="1"/>
    <x v="268"/>
    <x v="18"/>
    <n v="1775.62"/>
    <x v="0"/>
    <x v="3"/>
    <x v="1"/>
  </r>
  <r>
    <x v="438"/>
    <s v="Vera"/>
    <x v="438"/>
    <n v="990539729"/>
    <x v="0"/>
    <x v="207"/>
    <x v="3"/>
    <n v="344.19"/>
    <x v="0"/>
    <x v="2"/>
    <x v="1"/>
  </r>
  <r>
    <x v="353"/>
    <s v="Zaira"/>
    <x v="353"/>
    <n v="703370540"/>
    <x v="0"/>
    <x v="136"/>
    <x v="11"/>
    <n v="970.69"/>
    <x v="0"/>
    <x v="1"/>
    <x v="1"/>
  </r>
  <r>
    <x v="39"/>
    <s v="Pepe"/>
    <x v="39"/>
    <n v="700258650"/>
    <x v="0"/>
    <x v="139"/>
    <x v="0"/>
    <n v="1110.46"/>
    <x v="0"/>
    <x v="2"/>
    <x v="1"/>
  </r>
  <r>
    <x v="524"/>
    <s v="Azeneth"/>
    <x v="524"/>
    <n v="727299226"/>
    <x v="0"/>
    <x v="658"/>
    <x v="19"/>
    <n v="1488.43"/>
    <x v="0"/>
    <x v="2"/>
    <x v="0"/>
  </r>
  <r>
    <x v="0"/>
    <s v="Heliodoro"/>
    <x v="0"/>
    <n v="635181298"/>
    <x v="0"/>
    <x v="614"/>
    <x v="0"/>
    <n v="461.6"/>
    <x v="2"/>
    <x v="2"/>
    <x v="1"/>
  </r>
  <r>
    <x v="529"/>
    <s v="Dorita"/>
    <x v="529"/>
    <n v="724379169"/>
    <x v="1"/>
    <x v="329"/>
    <x v="16"/>
    <n v="268.60000000000002"/>
    <x v="0"/>
    <x v="1"/>
    <x v="0"/>
  </r>
  <r>
    <x v="242"/>
    <s v="Liliana"/>
    <x v="242"/>
    <n v="737596279"/>
    <x v="0"/>
    <x v="108"/>
    <x v="21"/>
    <n v="1218.8900000000001"/>
    <x v="0"/>
    <x v="2"/>
    <x v="0"/>
  </r>
  <r>
    <x v="538"/>
    <s v="Patricia"/>
    <x v="538"/>
    <n v="851963395"/>
    <x v="0"/>
    <x v="192"/>
    <x v="13"/>
    <n v="1234.58"/>
    <x v="2"/>
    <x v="2"/>
    <x v="0"/>
  </r>
  <r>
    <x v="72"/>
    <s v="Enrique"/>
    <x v="72"/>
    <n v="713291022"/>
    <x v="2"/>
    <x v="659"/>
    <x v="2"/>
    <n v="595.84"/>
    <x v="0"/>
    <x v="0"/>
    <x v="0"/>
  </r>
  <r>
    <x v="114"/>
    <s v="Heraclio"/>
    <x v="114"/>
    <n v="727937300"/>
    <x v="0"/>
    <x v="513"/>
    <x v="10"/>
    <n v="47.19"/>
    <x v="1"/>
    <x v="5"/>
    <x v="1"/>
  </r>
  <r>
    <x v="264"/>
    <s v="Raimundo"/>
    <x v="264"/>
    <n v="731372618"/>
    <x v="0"/>
    <x v="192"/>
    <x v="2"/>
    <n v="776.78"/>
    <x v="0"/>
    <x v="2"/>
    <x v="1"/>
  </r>
  <r>
    <x v="537"/>
    <s v="Pacífica"/>
    <x v="537"/>
    <n v="734239782"/>
    <x v="0"/>
    <x v="542"/>
    <x v="7"/>
    <n v="904.02"/>
    <x v="0"/>
    <x v="1"/>
    <x v="0"/>
  </r>
  <r>
    <x v="465"/>
    <s v="Eli"/>
    <x v="465"/>
    <n v="711020139"/>
    <x v="1"/>
    <x v="196"/>
    <x v="12"/>
    <n v="630.78"/>
    <x v="0"/>
    <x v="0"/>
    <x v="0"/>
  </r>
  <r>
    <x v="85"/>
    <s v="Débora"/>
    <x v="85"/>
    <n v="730479253"/>
    <x v="1"/>
    <x v="372"/>
    <x v="8"/>
    <n v="1432.44"/>
    <x v="0"/>
    <x v="0"/>
    <x v="0"/>
  </r>
  <r>
    <x v="520"/>
    <s v="Valentín"/>
    <x v="520"/>
    <n v="741614657"/>
    <x v="0"/>
    <x v="355"/>
    <x v="0"/>
    <n v="454.04"/>
    <x v="0"/>
    <x v="1"/>
    <x v="1"/>
  </r>
  <r>
    <x v="352"/>
    <s v="Concepción"/>
    <x v="352"/>
    <n v="717920847"/>
    <x v="0"/>
    <x v="254"/>
    <x v="7"/>
    <n v="411.27"/>
    <x v="2"/>
    <x v="1"/>
    <x v="0"/>
  </r>
  <r>
    <x v="539"/>
    <s v="Benito"/>
    <x v="539"/>
    <n v="736497821"/>
    <x v="1"/>
    <x v="660"/>
    <x v="12"/>
    <n v="1743.57"/>
    <x v="0"/>
    <x v="3"/>
    <x v="0"/>
  </r>
  <r>
    <x v="339"/>
    <s v="Verónica"/>
    <x v="339"/>
    <n v="923537231"/>
    <x v="0"/>
    <x v="439"/>
    <x v="19"/>
    <n v="670.56"/>
    <x v="2"/>
    <x v="0"/>
    <x v="1"/>
  </r>
  <r>
    <x v="331"/>
    <s v="Balduino"/>
    <x v="331"/>
    <n v="723768512"/>
    <x v="0"/>
    <x v="340"/>
    <x v="13"/>
    <n v="120.95"/>
    <x v="0"/>
    <x v="1"/>
    <x v="0"/>
  </r>
  <r>
    <x v="257"/>
    <s v="Ruperto"/>
    <x v="257"/>
    <n v="854810022"/>
    <x v="1"/>
    <x v="629"/>
    <x v="12"/>
    <n v="1468.48"/>
    <x v="1"/>
    <x v="3"/>
    <x v="0"/>
  </r>
  <r>
    <x v="34"/>
    <s v="Verónica"/>
    <x v="34"/>
    <n v="806812397"/>
    <x v="1"/>
    <x v="131"/>
    <x v="1"/>
    <n v="1139.6199999999999"/>
    <x v="0"/>
    <x v="3"/>
    <x v="1"/>
  </r>
  <r>
    <x v="188"/>
    <s v="Aitor"/>
    <x v="188"/>
    <n v="741044800"/>
    <x v="0"/>
    <x v="641"/>
    <x v="17"/>
    <n v="140.24"/>
    <x v="0"/>
    <x v="1"/>
    <x v="0"/>
  </r>
  <r>
    <x v="344"/>
    <s v="Omar"/>
    <x v="344"/>
    <n v="840470316"/>
    <x v="1"/>
    <x v="455"/>
    <x v="0"/>
    <n v="1839.67"/>
    <x v="0"/>
    <x v="0"/>
    <x v="0"/>
  </r>
  <r>
    <x v="351"/>
    <s v="Piedad"/>
    <x v="351"/>
    <n v="741286548"/>
    <x v="1"/>
    <x v="661"/>
    <x v="8"/>
    <n v="1352.25"/>
    <x v="0"/>
    <x v="1"/>
    <x v="0"/>
  </r>
  <r>
    <x v="149"/>
    <s v="Dan"/>
    <x v="149"/>
    <n v="719409141"/>
    <x v="1"/>
    <x v="429"/>
    <x v="22"/>
    <n v="177.06"/>
    <x v="0"/>
    <x v="2"/>
    <x v="0"/>
  </r>
  <r>
    <x v="540"/>
    <s v="Íngrid"/>
    <x v="540"/>
    <n v="747297428"/>
    <x v="0"/>
    <x v="309"/>
    <x v="12"/>
    <n v="208.34"/>
    <x v="0"/>
    <x v="1"/>
    <x v="1"/>
  </r>
  <r>
    <x v="93"/>
    <s v="Eleuterio"/>
    <x v="93"/>
    <n v="802128905"/>
    <x v="0"/>
    <x v="638"/>
    <x v="0"/>
    <n v="575.76"/>
    <x v="0"/>
    <x v="1"/>
    <x v="0"/>
  </r>
  <r>
    <x v="318"/>
    <s v="Begoña"/>
    <x v="318"/>
    <n v="722110763"/>
    <x v="2"/>
    <x v="504"/>
    <x v="13"/>
    <n v="811.2"/>
    <x v="0"/>
    <x v="1"/>
    <x v="0"/>
  </r>
  <r>
    <x v="267"/>
    <s v="Eufemia"/>
    <x v="267"/>
    <n v="724525701"/>
    <x v="0"/>
    <x v="343"/>
    <x v="22"/>
    <n v="487.33"/>
    <x v="2"/>
    <x v="0"/>
    <x v="1"/>
  </r>
  <r>
    <x v="426"/>
    <s v="Sebastian"/>
    <x v="426"/>
    <n v="899491733"/>
    <x v="0"/>
    <x v="662"/>
    <x v="18"/>
    <n v="959.49"/>
    <x v="0"/>
    <x v="1"/>
    <x v="1"/>
  </r>
  <r>
    <x v="22"/>
    <s v="Ale"/>
    <x v="22"/>
    <n v="722994048"/>
    <x v="0"/>
    <x v="526"/>
    <x v="7"/>
    <n v="888.18"/>
    <x v="0"/>
    <x v="1"/>
    <x v="0"/>
  </r>
  <r>
    <x v="366"/>
    <s v="Nydia"/>
    <x v="366"/>
    <n v="688673130"/>
    <x v="1"/>
    <x v="649"/>
    <x v="23"/>
    <n v="12.02"/>
    <x v="0"/>
    <x v="1"/>
    <x v="1"/>
  </r>
  <r>
    <x v="260"/>
    <s v="Tomasa"/>
    <x v="260"/>
    <n v="738722817"/>
    <x v="0"/>
    <x v="663"/>
    <x v="23"/>
    <n v="1545.17"/>
    <x v="0"/>
    <x v="4"/>
    <x v="1"/>
  </r>
  <r>
    <x v="487"/>
    <s v="Ileana"/>
    <x v="487"/>
    <n v="706544642"/>
    <x v="1"/>
    <x v="344"/>
    <x v="18"/>
    <n v="1278.43"/>
    <x v="0"/>
    <x v="0"/>
    <x v="1"/>
  </r>
  <r>
    <x v="497"/>
    <s v="Obdulia"/>
    <x v="497"/>
    <n v="718769258"/>
    <x v="1"/>
    <x v="136"/>
    <x v="11"/>
    <n v="1603.53"/>
    <x v="0"/>
    <x v="1"/>
    <x v="1"/>
  </r>
  <r>
    <x v="27"/>
    <s v="Maite"/>
    <x v="27"/>
    <n v="723510058"/>
    <x v="1"/>
    <x v="177"/>
    <x v="14"/>
    <n v="1037.21"/>
    <x v="1"/>
    <x v="3"/>
    <x v="1"/>
  </r>
  <r>
    <x v="151"/>
    <s v="Roque"/>
    <x v="151"/>
    <n v="724968308"/>
    <x v="0"/>
    <x v="595"/>
    <x v="1"/>
    <n v="1031.83"/>
    <x v="0"/>
    <x v="2"/>
    <x v="1"/>
  </r>
  <r>
    <x v="516"/>
    <s v="Corona"/>
    <x v="516"/>
    <n v="718841855"/>
    <x v="1"/>
    <x v="226"/>
    <x v="6"/>
    <n v="780.09"/>
    <x v="0"/>
    <x v="2"/>
    <x v="0"/>
  </r>
  <r>
    <x v="101"/>
    <s v="Felix"/>
    <x v="101"/>
    <n v="749804420"/>
    <x v="1"/>
    <x v="637"/>
    <x v="23"/>
    <n v="351.98"/>
    <x v="0"/>
    <x v="0"/>
    <x v="0"/>
  </r>
  <r>
    <x v="375"/>
    <s v="Eutropio"/>
    <x v="375"/>
    <n v="639659594"/>
    <x v="0"/>
    <x v="180"/>
    <x v="15"/>
    <n v="1950.47"/>
    <x v="2"/>
    <x v="2"/>
    <x v="0"/>
  </r>
  <r>
    <x v="258"/>
    <s v="Carla"/>
    <x v="258"/>
    <n v="706401025"/>
    <x v="0"/>
    <x v="219"/>
    <x v="4"/>
    <n v="1239.23"/>
    <x v="0"/>
    <x v="1"/>
    <x v="0"/>
  </r>
  <r>
    <x v="406"/>
    <s v="Isabel"/>
    <x v="406"/>
    <n v="721786256"/>
    <x v="0"/>
    <x v="67"/>
    <x v="4"/>
    <n v="1614.67"/>
    <x v="0"/>
    <x v="2"/>
    <x v="0"/>
  </r>
  <r>
    <x v="252"/>
    <s v="Fabián"/>
    <x v="252"/>
    <n v="741931466"/>
    <x v="1"/>
    <x v="81"/>
    <x v="7"/>
    <n v="1412.32"/>
    <x v="0"/>
    <x v="1"/>
    <x v="1"/>
  </r>
  <r>
    <x v="397"/>
    <s v="Maximino"/>
    <x v="397"/>
    <n v="738123474"/>
    <x v="0"/>
    <x v="206"/>
    <x v="23"/>
    <n v="1009.54"/>
    <x v="0"/>
    <x v="2"/>
    <x v="1"/>
  </r>
  <r>
    <x v="132"/>
    <s v="Nacho"/>
    <x v="132"/>
    <n v="704058112"/>
    <x v="1"/>
    <x v="406"/>
    <x v="0"/>
    <n v="1990.17"/>
    <x v="0"/>
    <x v="0"/>
    <x v="0"/>
  </r>
  <r>
    <x v="109"/>
    <s v="Román"/>
    <x v="109"/>
    <n v="681942999"/>
    <x v="0"/>
    <x v="323"/>
    <x v="6"/>
    <n v="604.92999999999995"/>
    <x v="0"/>
    <x v="2"/>
    <x v="1"/>
  </r>
  <r>
    <x v="1"/>
    <s v="Román"/>
    <x v="1"/>
    <n v="704413195"/>
    <x v="1"/>
    <x v="74"/>
    <x v="1"/>
    <n v="671.82"/>
    <x v="0"/>
    <x v="4"/>
    <x v="1"/>
  </r>
  <r>
    <x v="151"/>
    <s v="Roque"/>
    <x v="151"/>
    <n v="724968308"/>
    <x v="0"/>
    <x v="498"/>
    <x v="1"/>
    <n v="727.03"/>
    <x v="0"/>
    <x v="1"/>
    <x v="0"/>
  </r>
  <r>
    <x v="92"/>
    <s v="Aarón"/>
    <x v="92"/>
    <n v="701528957"/>
    <x v="1"/>
    <x v="63"/>
    <x v="22"/>
    <n v="14.13"/>
    <x v="0"/>
    <x v="5"/>
    <x v="0"/>
  </r>
  <r>
    <x v="409"/>
    <s v="Celestino"/>
    <x v="409"/>
    <n v="878768666"/>
    <x v="2"/>
    <x v="123"/>
    <x v="18"/>
    <n v="888.64"/>
    <x v="2"/>
    <x v="0"/>
    <x v="0"/>
  </r>
  <r>
    <x v="102"/>
    <s v="Angelita"/>
    <x v="102"/>
    <n v="719168799"/>
    <x v="0"/>
    <x v="632"/>
    <x v="17"/>
    <n v="1618.64"/>
    <x v="0"/>
    <x v="3"/>
    <x v="0"/>
  </r>
  <r>
    <x v="484"/>
    <s v="Fortunato"/>
    <x v="484"/>
    <n v="983839916"/>
    <x v="1"/>
    <x v="31"/>
    <x v="19"/>
    <n v="252.44"/>
    <x v="0"/>
    <x v="0"/>
    <x v="0"/>
  </r>
  <r>
    <x v="93"/>
    <s v="Eleuterio"/>
    <x v="93"/>
    <n v="802128905"/>
    <x v="0"/>
    <x v="664"/>
    <x v="0"/>
    <n v="118.19"/>
    <x v="0"/>
    <x v="3"/>
    <x v="1"/>
  </r>
  <r>
    <x v="131"/>
    <s v="Yaiza"/>
    <x v="131"/>
    <n v="714072413"/>
    <x v="1"/>
    <x v="399"/>
    <x v="15"/>
    <n v="1851.66"/>
    <x v="0"/>
    <x v="5"/>
    <x v="1"/>
  </r>
  <r>
    <x v="83"/>
    <s v="Ema"/>
    <x v="83"/>
    <n v="745956596"/>
    <x v="0"/>
    <x v="329"/>
    <x v="19"/>
    <n v="781.12"/>
    <x v="0"/>
    <x v="3"/>
    <x v="0"/>
  </r>
  <r>
    <x v="132"/>
    <s v="Nacho"/>
    <x v="132"/>
    <n v="704058112"/>
    <x v="1"/>
    <x v="240"/>
    <x v="0"/>
    <n v="1258.82"/>
    <x v="0"/>
    <x v="1"/>
    <x v="1"/>
  </r>
  <r>
    <x v="258"/>
    <s v="Carla"/>
    <x v="258"/>
    <n v="706401025"/>
    <x v="0"/>
    <x v="325"/>
    <x v="4"/>
    <n v="1979.91"/>
    <x v="0"/>
    <x v="1"/>
    <x v="0"/>
  </r>
  <r>
    <x v="357"/>
    <s v="Almudena"/>
    <x v="357"/>
    <n v="742320022"/>
    <x v="0"/>
    <x v="641"/>
    <x v="17"/>
    <n v="207.72"/>
    <x v="0"/>
    <x v="1"/>
    <x v="0"/>
  </r>
  <r>
    <x v="468"/>
    <s v="Tito"/>
    <x v="468"/>
    <n v="748753252"/>
    <x v="0"/>
    <x v="154"/>
    <x v="8"/>
    <n v="305.89999999999998"/>
    <x v="0"/>
    <x v="2"/>
    <x v="0"/>
  </r>
  <r>
    <x v="180"/>
    <s v="Felipa"/>
    <x v="180"/>
    <n v="741679878"/>
    <x v="0"/>
    <x v="338"/>
    <x v="7"/>
    <n v="1864.24"/>
    <x v="0"/>
    <x v="1"/>
    <x v="0"/>
  </r>
  <r>
    <x v="385"/>
    <s v="Yaiza"/>
    <x v="385"/>
    <n v="639108490"/>
    <x v="0"/>
    <x v="647"/>
    <x v="16"/>
    <n v="1636.96"/>
    <x v="0"/>
    <x v="0"/>
    <x v="0"/>
  </r>
  <r>
    <x v="519"/>
    <s v="Amor"/>
    <x v="519"/>
    <n v="856224115"/>
    <x v="1"/>
    <x v="148"/>
    <x v="14"/>
    <n v="384.55"/>
    <x v="0"/>
    <x v="0"/>
    <x v="1"/>
  </r>
  <r>
    <x v="290"/>
    <s v="Claudio"/>
    <x v="290"/>
    <n v="955471414"/>
    <x v="0"/>
    <x v="328"/>
    <x v="22"/>
    <n v="1648.53"/>
    <x v="0"/>
    <x v="0"/>
    <x v="1"/>
  </r>
  <r>
    <x v="356"/>
    <s v="Sabina"/>
    <x v="356"/>
    <n v="938130308"/>
    <x v="1"/>
    <x v="91"/>
    <x v="4"/>
    <n v="1774.4"/>
    <x v="0"/>
    <x v="4"/>
    <x v="1"/>
  </r>
  <r>
    <x v="541"/>
    <s v="Armida"/>
    <x v="541"/>
    <n v="611250688"/>
    <x v="0"/>
    <x v="118"/>
    <x v="3"/>
    <n v="1763.64"/>
    <x v="0"/>
    <x v="2"/>
    <x v="0"/>
  </r>
  <r>
    <x v="407"/>
    <s v="Florencia"/>
    <x v="407"/>
    <n v="707329571"/>
    <x v="1"/>
    <x v="534"/>
    <x v="14"/>
    <n v="1402.82"/>
    <x v="0"/>
    <x v="3"/>
    <x v="0"/>
  </r>
  <r>
    <x v="62"/>
    <s v="Jesusa"/>
    <x v="62"/>
    <n v="948373777"/>
    <x v="0"/>
    <x v="180"/>
    <x v="16"/>
    <n v="704.77"/>
    <x v="0"/>
    <x v="2"/>
    <x v="1"/>
  </r>
  <r>
    <x v="306"/>
    <s v="Eladio"/>
    <x v="306"/>
    <n v="971399015"/>
    <x v="1"/>
    <x v="228"/>
    <x v="18"/>
    <n v="1212.27"/>
    <x v="2"/>
    <x v="3"/>
    <x v="0"/>
  </r>
  <r>
    <x v="35"/>
    <s v="Álvaro"/>
    <x v="35"/>
    <n v="888046669"/>
    <x v="1"/>
    <x v="626"/>
    <x v="8"/>
    <n v="999.69"/>
    <x v="0"/>
    <x v="3"/>
    <x v="1"/>
  </r>
  <r>
    <x v="204"/>
    <s v="Bibiana"/>
    <x v="204"/>
    <n v="733233840"/>
    <x v="0"/>
    <x v="665"/>
    <x v="14"/>
    <n v="93.75"/>
    <x v="0"/>
    <x v="1"/>
    <x v="0"/>
  </r>
  <r>
    <x v="45"/>
    <s v="Maxi"/>
    <x v="45"/>
    <n v="726799934"/>
    <x v="1"/>
    <x v="541"/>
    <x v="7"/>
    <n v="1398.72"/>
    <x v="0"/>
    <x v="2"/>
    <x v="0"/>
  </r>
  <r>
    <x v="59"/>
    <s v="Clemente"/>
    <x v="59"/>
    <n v="744517295"/>
    <x v="1"/>
    <x v="100"/>
    <x v="7"/>
    <n v="335.74"/>
    <x v="0"/>
    <x v="3"/>
    <x v="1"/>
  </r>
  <r>
    <x v="390"/>
    <s v="Socorro"/>
    <x v="390"/>
    <n v="879206409"/>
    <x v="0"/>
    <x v="129"/>
    <x v="1"/>
    <n v="643.71"/>
    <x v="0"/>
    <x v="4"/>
    <x v="0"/>
  </r>
  <r>
    <x v="481"/>
    <s v="Hector"/>
    <x v="481"/>
    <n v="983007269"/>
    <x v="0"/>
    <x v="188"/>
    <x v="11"/>
    <n v="123.64"/>
    <x v="0"/>
    <x v="2"/>
    <x v="0"/>
  </r>
  <r>
    <x v="264"/>
    <s v="Raimundo"/>
    <x v="264"/>
    <n v="731372618"/>
    <x v="0"/>
    <x v="447"/>
    <x v="2"/>
    <n v="1097.29"/>
    <x v="0"/>
    <x v="4"/>
    <x v="0"/>
  </r>
  <r>
    <x v="437"/>
    <s v="Adalberto"/>
    <x v="437"/>
    <n v="713494387"/>
    <x v="0"/>
    <x v="563"/>
    <x v="1"/>
    <n v="1596.88"/>
    <x v="0"/>
    <x v="1"/>
    <x v="1"/>
  </r>
  <r>
    <x v="396"/>
    <s v="Cecilio"/>
    <x v="396"/>
    <n v="966229025"/>
    <x v="0"/>
    <x v="358"/>
    <x v="18"/>
    <n v="788.12"/>
    <x v="0"/>
    <x v="4"/>
    <x v="0"/>
  </r>
  <r>
    <x v="7"/>
    <s v="Primitiva"/>
    <x v="7"/>
    <n v="681249637"/>
    <x v="2"/>
    <x v="340"/>
    <x v="2"/>
    <n v="1637.33"/>
    <x v="2"/>
    <x v="2"/>
    <x v="1"/>
  </r>
  <r>
    <x v="409"/>
    <s v="Celestino"/>
    <x v="409"/>
    <n v="878768666"/>
    <x v="2"/>
    <x v="516"/>
    <x v="18"/>
    <n v="778.9"/>
    <x v="0"/>
    <x v="2"/>
    <x v="0"/>
  </r>
  <r>
    <x v="159"/>
    <s v="Reynaldo"/>
    <x v="159"/>
    <n v="723183453"/>
    <x v="2"/>
    <x v="209"/>
    <x v="12"/>
    <n v="869.11"/>
    <x v="0"/>
    <x v="1"/>
    <x v="1"/>
  </r>
  <r>
    <x v="499"/>
    <s v="Ulises"/>
    <x v="499"/>
    <n v="749856245"/>
    <x v="0"/>
    <x v="517"/>
    <x v="15"/>
    <n v="1610.15"/>
    <x v="0"/>
    <x v="1"/>
    <x v="1"/>
  </r>
  <r>
    <x v="114"/>
    <s v="Heraclio"/>
    <x v="114"/>
    <n v="727937300"/>
    <x v="0"/>
    <x v="369"/>
    <x v="10"/>
    <n v="708.4"/>
    <x v="0"/>
    <x v="2"/>
    <x v="1"/>
  </r>
  <r>
    <x v="214"/>
    <s v="Ignacio"/>
    <x v="214"/>
    <n v="648175517"/>
    <x v="1"/>
    <x v="538"/>
    <x v="23"/>
    <n v="1038.3499999999999"/>
    <x v="0"/>
    <x v="4"/>
    <x v="1"/>
  </r>
  <r>
    <x v="266"/>
    <s v="Maricela"/>
    <x v="266"/>
    <n v="721979865"/>
    <x v="0"/>
    <x v="666"/>
    <x v="18"/>
    <n v="668.78"/>
    <x v="0"/>
    <x v="0"/>
    <x v="1"/>
  </r>
  <r>
    <x v="474"/>
    <s v="Heraclio"/>
    <x v="474"/>
    <n v="879657385"/>
    <x v="0"/>
    <x v="319"/>
    <x v="22"/>
    <n v="906.75"/>
    <x v="1"/>
    <x v="2"/>
    <x v="0"/>
  </r>
  <r>
    <x v="113"/>
    <s v="Marcio"/>
    <x v="113"/>
    <n v="682341936"/>
    <x v="0"/>
    <x v="337"/>
    <x v="1"/>
    <n v="1954.56"/>
    <x v="0"/>
    <x v="4"/>
    <x v="0"/>
  </r>
  <r>
    <x v="282"/>
    <s v="Rita"/>
    <x v="282"/>
    <n v="988674084"/>
    <x v="0"/>
    <x v="567"/>
    <x v="3"/>
    <n v="717.76"/>
    <x v="0"/>
    <x v="2"/>
    <x v="1"/>
  </r>
  <r>
    <x v="314"/>
    <s v="Selena"/>
    <x v="314"/>
    <n v="996771143"/>
    <x v="0"/>
    <x v="156"/>
    <x v="3"/>
    <n v="1429.88"/>
    <x v="0"/>
    <x v="0"/>
    <x v="1"/>
  </r>
  <r>
    <x v="516"/>
    <s v="Corona"/>
    <x v="516"/>
    <n v="718841855"/>
    <x v="1"/>
    <x v="415"/>
    <x v="6"/>
    <n v="624.61"/>
    <x v="0"/>
    <x v="5"/>
    <x v="0"/>
  </r>
  <r>
    <x v="57"/>
    <s v="Felix"/>
    <x v="57"/>
    <n v="863311909"/>
    <x v="0"/>
    <x v="333"/>
    <x v="7"/>
    <n v="1245.42"/>
    <x v="0"/>
    <x v="2"/>
    <x v="1"/>
  </r>
  <r>
    <x v="535"/>
    <s v="Nazario"/>
    <x v="535"/>
    <n v="722429412"/>
    <x v="0"/>
    <x v="667"/>
    <x v="20"/>
    <n v="431.35"/>
    <x v="0"/>
    <x v="2"/>
    <x v="1"/>
  </r>
  <r>
    <x v="288"/>
    <s v="Melisa"/>
    <x v="288"/>
    <n v="711121687"/>
    <x v="1"/>
    <x v="356"/>
    <x v="4"/>
    <n v="778.41"/>
    <x v="0"/>
    <x v="4"/>
    <x v="1"/>
  </r>
  <r>
    <x v="542"/>
    <s v="Felicidad"/>
    <x v="542"/>
    <n v="707005641"/>
    <x v="0"/>
    <x v="560"/>
    <x v="14"/>
    <n v="1046.8800000000001"/>
    <x v="0"/>
    <x v="2"/>
    <x v="0"/>
  </r>
  <r>
    <x v="88"/>
    <s v="Alexandra"/>
    <x v="88"/>
    <n v="701371902"/>
    <x v="0"/>
    <x v="116"/>
    <x v="22"/>
    <n v="1608.1"/>
    <x v="0"/>
    <x v="4"/>
    <x v="0"/>
  </r>
  <r>
    <x v="68"/>
    <s v="Jose Manuel"/>
    <x v="68"/>
    <n v="747024959"/>
    <x v="1"/>
    <x v="668"/>
    <x v="13"/>
    <n v="1485.42"/>
    <x v="0"/>
    <x v="1"/>
    <x v="1"/>
  </r>
  <r>
    <x v="332"/>
    <s v="Adelia"/>
    <x v="332"/>
    <n v="636255184"/>
    <x v="0"/>
    <x v="586"/>
    <x v="1"/>
    <n v="417.81"/>
    <x v="0"/>
    <x v="0"/>
    <x v="1"/>
  </r>
  <r>
    <x v="315"/>
    <s v="Ainoa"/>
    <x v="315"/>
    <n v="624808343"/>
    <x v="1"/>
    <x v="340"/>
    <x v="11"/>
    <n v="1886.8"/>
    <x v="2"/>
    <x v="4"/>
    <x v="1"/>
  </r>
  <r>
    <x v="406"/>
    <s v="Isabel"/>
    <x v="406"/>
    <n v="721786256"/>
    <x v="0"/>
    <x v="149"/>
    <x v="4"/>
    <n v="256.60000000000002"/>
    <x v="1"/>
    <x v="0"/>
    <x v="1"/>
  </r>
  <r>
    <x v="48"/>
    <s v="Flavia"/>
    <x v="48"/>
    <n v="705389520"/>
    <x v="2"/>
    <x v="97"/>
    <x v="6"/>
    <n v="223.04"/>
    <x v="0"/>
    <x v="1"/>
    <x v="1"/>
  </r>
  <r>
    <x v="25"/>
    <s v="Marcelo"/>
    <x v="25"/>
    <n v="742924464"/>
    <x v="1"/>
    <x v="416"/>
    <x v="8"/>
    <n v="1167.5899999999999"/>
    <x v="0"/>
    <x v="2"/>
    <x v="1"/>
  </r>
  <r>
    <x v="329"/>
    <s v="Yéssica"/>
    <x v="329"/>
    <n v="720043779"/>
    <x v="0"/>
    <x v="177"/>
    <x v="9"/>
    <n v="1467.67"/>
    <x v="0"/>
    <x v="3"/>
    <x v="1"/>
  </r>
  <r>
    <x v="436"/>
    <s v="Coral"/>
    <x v="436"/>
    <n v="967429433"/>
    <x v="1"/>
    <x v="222"/>
    <x v="17"/>
    <n v="1176.56"/>
    <x v="0"/>
    <x v="0"/>
    <x v="0"/>
  </r>
  <r>
    <x v="149"/>
    <s v="Dan"/>
    <x v="149"/>
    <n v="719409141"/>
    <x v="1"/>
    <x v="585"/>
    <x v="22"/>
    <n v="496.34"/>
    <x v="1"/>
    <x v="3"/>
    <x v="1"/>
  </r>
  <r>
    <x v="398"/>
    <s v="Armando"/>
    <x v="398"/>
    <n v="743281688"/>
    <x v="1"/>
    <x v="378"/>
    <x v="6"/>
    <n v="1605.85"/>
    <x v="0"/>
    <x v="3"/>
    <x v="1"/>
  </r>
  <r>
    <x v="320"/>
    <s v="Máximo"/>
    <x v="320"/>
    <n v="676942883"/>
    <x v="0"/>
    <x v="539"/>
    <x v="7"/>
    <n v="379.66"/>
    <x v="0"/>
    <x v="1"/>
    <x v="0"/>
  </r>
  <r>
    <x v="178"/>
    <s v="Máximo"/>
    <x v="178"/>
    <n v="628481126"/>
    <x v="0"/>
    <x v="669"/>
    <x v="5"/>
    <n v="1766.89"/>
    <x v="0"/>
    <x v="1"/>
    <x v="1"/>
  </r>
  <r>
    <x v="201"/>
    <s v="Azucena"/>
    <x v="201"/>
    <n v="709339074"/>
    <x v="0"/>
    <x v="503"/>
    <x v="12"/>
    <n v="1592.52"/>
    <x v="0"/>
    <x v="2"/>
    <x v="0"/>
  </r>
  <r>
    <x v="409"/>
    <s v="Celestino"/>
    <x v="409"/>
    <n v="878768666"/>
    <x v="2"/>
    <x v="1"/>
    <x v="18"/>
    <n v="961.11"/>
    <x v="0"/>
    <x v="1"/>
    <x v="1"/>
  </r>
  <r>
    <x v="119"/>
    <s v="Aroa"/>
    <x v="119"/>
    <n v="717655927"/>
    <x v="1"/>
    <x v="670"/>
    <x v="23"/>
    <n v="1861.05"/>
    <x v="0"/>
    <x v="0"/>
    <x v="0"/>
  </r>
  <r>
    <x v="262"/>
    <s v="Nuria"/>
    <x v="262"/>
    <n v="804914249"/>
    <x v="0"/>
    <x v="268"/>
    <x v="2"/>
    <n v="1634.39"/>
    <x v="0"/>
    <x v="2"/>
    <x v="1"/>
  </r>
  <r>
    <x v="359"/>
    <s v="Tamara"/>
    <x v="359"/>
    <n v="721034679"/>
    <x v="0"/>
    <x v="580"/>
    <x v="21"/>
    <n v="631.34"/>
    <x v="0"/>
    <x v="1"/>
    <x v="0"/>
  </r>
  <r>
    <x v="172"/>
    <s v="Arsenio"/>
    <x v="172"/>
    <n v="710606110"/>
    <x v="1"/>
    <x v="352"/>
    <x v="5"/>
    <n v="1173.83"/>
    <x v="0"/>
    <x v="3"/>
    <x v="0"/>
  </r>
  <r>
    <x v="329"/>
    <s v="Yéssica"/>
    <x v="329"/>
    <n v="720043779"/>
    <x v="0"/>
    <x v="57"/>
    <x v="9"/>
    <n v="1177.18"/>
    <x v="1"/>
    <x v="2"/>
    <x v="1"/>
  </r>
  <r>
    <x v="155"/>
    <s v="Cloe"/>
    <x v="155"/>
    <n v="951388515"/>
    <x v="0"/>
    <x v="421"/>
    <x v="9"/>
    <n v="24.21"/>
    <x v="1"/>
    <x v="3"/>
    <x v="0"/>
  </r>
  <r>
    <x v="72"/>
    <s v="Enrique"/>
    <x v="72"/>
    <n v="713291022"/>
    <x v="2"/>
    <x v="91"/>
    <x v="2"/>
    <n v="1557.43"/>
    <x v="0"/>
    <x v="1"/>
    <x v="1"/>
  </r>
  <r>
    <x v="16"/>
    <s v="Belén"/>
    <x v="16"/>
    <n v="739522597"/>
    <x v="0"/>
    <x v="114"/>
    <x v="9"/>
    <n v="115.17"/>
    <x v="1"/>
    <x v="3"/>
    <x v="0"/>
  </r>
  <r>
    <x v="442"/>
    <s v="Cebrián"/>
    <x v="442"/>
    <n v="721713548"/>
    <x v="0"/>
    <x v="279"/>
    <x v="1"/>
    <n v="771.23"/>
    <x v="0"/>
    <x v="1"/>
    <x v="0"/>
  </r>
  <r>
    <x v="109"/>
    <s v="Román"/>
    <x v="109"/>
    <n v="681942999"/>
    <x v="0"/>
    <x v="666"/>
    <x v="6"/>
    <n v="1068.52"/>
    <x v="0"/>
    <x v="2"/>
    <x v="0"/>
  </r>
  <r>
    <x v="209"/>
    <s v="Eli"/>
    <x v="209"/>
    <n v="726664477"/>
    <x v="0"/>
    <x v="667"/>
    <x v="19"/>
    <n v="276.3"/>
    <x v="0"/>
    <x v="1"/>
    <x v="0"/>
  </r>
  <r>
    <x v="384"/>
    <s v="Teodoro"/>
    <x v="384"/>
    <n v="731230632"/>
    <x v="0"/>
    <x v="13"/>
    <x v="14"/>
    <n v="770.33"/>
    <x v="0"/>
    <x v="0"/>
    <x v="1"/>
  </r>
  <r>
    <x v="413"/>
    <s v="Tadeo"/>
    <x v="413"/>
    <n v="865720278"/>
    <x v="0"/>
    <x v="259"/>
    <x v="7"/>
    <n v="1941.92"/>
    <x v="0"/>
    <x v="1"/>
    <x v="1"/>
  </r>
  <r>
    <x v="121"/>
    <s v="Tecla"/>
    <x v="121"/>
    <n v="715497471"/>
    <x v="0"/>
    <x v="382"/>
    <x v="18"/>
    <n v="1286.1600000000001"/>
    <x v="1"/>
    <x v="1"/>
    <x v="0"/>
  </r>
  <r>
    <x v="419"/>
    <s v="Vera"/>
    <x v="419"/>
    <n v="660996978"/>
    <x v="1"/>
    <x v="323"/>
    <x v="3"/>
    <n v="1478.87"/>
    <x v="0"/>
    <x v="1"/>
    <x v="1"/>
  </r>
  <r>
    <x v="514"/>
    <s v="Conrado"/>
    <x v="514"/>
    <n v="743295032"/>
    <x v="0"/>
    <x v="656"/>
    <x v="15"/>
    <n v="436.79"/>
    <x v="0"/>
    <x v="2"/>
    <x v="0"/>
  </r>
  <r>
    <x v="366"/>
    <s v="Nydia"/>
    <x v="366"/>
    <n v="688673130"/>
    <x v="1"/>
    <x v="139"/>
    <x v="23"/>
    <n v="153.31"/>
    <x v="0"/>
    <x v="4"/>
    <x v="1"/>
  </r>
  <r>
    <x v="227"/>
    <s v="Carina"/>
    <x v="227"/>
    <n v="742875737"/>
    <x v="0"/>
    <x v="519"/>
    <x v="4"/>
    <n v="850.98"/>
    <x v="0"/>
    <x v="1"/>
    <x v="1"/>
  </r>
  <r>
    <x v="266"/>
    <s v="Maricela"/>
    <x v="266"/>
    <n v="721979865"/>
    <x v="0"/>
    <x v="364"/>
    <x v="18"/>
    <n v="558.58000000000004"/>
    <x v="2"/>
    <x v="0"/>
    <x v="0"/>
  </r>
  <r>
    <x v="470"/>
    <s v="Dan"/>
    <x v="470"/>
    <n v="739254068"/>
    <x v="1"/>
    <x v="540"/>
    <x v="7"/>
    <n v="896.97"/>
    <x v="0"/>
    <x v="3"/>
    <x v="0"/>
  </r>
  <r>
    <x v="470"/>
    <s v="Dan"/>
    <x v="470"/>
    <n v="739254068"/>
    <x v="1"/>
    <x v="295"/>
    <x v="7"/>
    <n v="1420.94"/>
    <x v="1"/>
    <x v="4"/>
    <x v="1"/>
  </r>
  <r>
    <x v="351"/>
    <s v="Piedad"/>
    <x v="351"/>
    <n v="741286548"/>
    <x v="1"/>
    <x v="35"/>
    <x v="8"/>
    <n v="220.53"/>
    <x v="1"/>
    <x v="3"/>
    <x v="0"/>
  </r>
  <r>
    <x v="543"/>
    <s v="Pepito"/>
    <x v="543"/>
    <n v="718679112"/>
    <x v="0"/>
    <x v="661"/>
    <x v="2"/>
    <n v="403.85"/>
    <x v="0"/>
    <x v="3"/>
    <x v="1"/>
  </r>
  <r>
    <x v="88"/>
    <s v="Alexandra"/>
    <x v="88"/>
    <n v="701371902"/>
    <x v="0"/>
    <x v="657"/>
    <x v="22"/>
    <n v="1918.99"/>
    <x v="1"/>
    <x v="2"/>
    <x v="0"/>
  </r>
  <r>
    <x v="544"/>
    <s v="Tomás"/>
    <x v="544"/>
    <n v="979168881"/>
    <x v="0"/>
    <x v="38"/>
    <x v="10"/>
    <n v="727.47"/>
    <x v="0"/>
    <x v="2"/>
    <x v="0"/>
  </r>
  <r>
    <x v="365"/>
    <s v="Fanny"/>
    <x v="365"/>
    <n v="974043470"/>
    <x v="1"/>
    <x v="35"/>
    <x v="1"/>
    <n v="178.32"/>
    <x v="0"/>
    <x v="3"/>
    <x v="0"/>
  </r>
  <r>
    <x v="101"/>
    <s v="Felix"/>
    <x v="101"/>
    <n v="749804420"/>
    <x v="1"/>
    <x v="179"/>
    <x v="23"/>
    <n v="1346.76"/>
    <x v="0"/>
    <x v="0"/>
    <x v="0"/>
  </r>
  <r>
    <x v="78"/>
    <s v="Lino"/>
    <x v="78"/>
    <n v="699605788"/>
    <x v="1"/>
    <x v="205"/>
    <x v="7"/>
    <n v="175.62"/>
    <x v="0"/>
    <x v="3"/>
    <x v="1"/>
  </r>
  <r>
    <x v="217"/>
    <s v="Sarita"/>
    <x v="217"/>
    <n v="621081475"/>
    <x v="1"/>
    <x v="592"/>
    <x v="5"/>
    <n v="12.82"/>
    <x v="1"/>
    <x v="4"/>
    <x v="1"/>
  </r>
  <r>
    <x v="411"/>
    <s v="Evangelina"/>
    <x v="411"/>
    <n v="746518380"/>
    <x v="1"/>
    <x v="546"/>
    <x v="20"/>
    <n v="928.65"/>
    <x v="1"/>
    <x v="3"/>
    <x v="1"/>
  </r>
  <r>
    <x v="99"/>
    <s v="Leyre"/>
    <x v="99"/>
    <n v="649943369"/>
    <x v="1"/>
    <x v="165"/>
    <x v="5"/>
    <n v="232.95"/>
    <x v="0"/>
    <x v="3"/>
    <x v="1"/>
  </r>
  <r>
    <x v="120"/>
    <s v="Cipriano"/>
    <x v="120"/>
    <n v="708260146"/>
    <x v="2"/>
    <x v="341"/>
    <x v="6"/>
    <n v="333.16"/>
    <x v="0"/>
    <x v="3"/>
    <x v="1"/>
  </r>
  <r>
    <x v="523"/>
    <s v="Oriana"/>
    <x v="523"/>
    <n v="749061001"/>
    <x v="0"/>
    <x v="614"/>
    <x v="9"/>
    <n v="1641.54"/>
    <x v="0"/>
    <x v="2"/>
    <x v="0"/>
  </r>
  <r>
    <x v="174"/>
    <s v="Paz"/>
    <x v="174"/>
    <n v="803123797"/>
    <x v="0"/>
    <x v="329"/>
    <x v="18"/>
    <n v="539.82000000000005"/>
    <x v="0"/>
    <x v="2"/>
    <x v="1"/>
  </r>
  <r>
    <x v="462"/>
    <s v="Lucho"/>
    <x v="462"/>
    <n v="712172275"/>
    <x v="0"/>
    <x v="178"/>
    <x v="1"/>
    <n v="822.77"/>
    <x v="0"/>
    <x v="3"/>
    <x v="0"/>
  </r>
  <r>
    <x v="70"/>
    <s v="Olalla"/>
    <x v="70"/>
    <n v="701055024"/>
    <x v="0"/>
    <x v="79"/>
    <x v="18"/>
    <n v="1732.74"/>
    <x v="1"/>
    <x v="0"/>
    <x v="0"/>
  </r>
  <r>
    <x v="426"/>
    <s v="Sebastian"/>
    <x v="426"/>
    <n v="899491733"/>
    <x v="0"/>
    <x v="542"/>
    <x v="18"/>
    <n v="47.66"/>
    <x v="1"/>
    <x v="0"/>
    <x v="0"/>
  </r>
  <r>
    <x v="395"/>
    <s v="Fidel"/>
    <x v="395"/>
    <n v="704920235"/>
    <x v="1"/>
    <x v="501"/>
    <x v="7"/>
    <n v="1996.4"/>
    <x v="0"/>
    <x v="3"/>
    <x v="0"/>
  </r>
  <r>
    <x v="165"/>
    <s v="Pancho"/>
    <x v="165"/>
    <n v="745695976"/>
    <x v="0"/>
    <x v="667"/>
    <x v="0"/>
    <n v="1589.49"/>
    <x v="0"/>
    <x v="4"/>
    <x v="1"/>
  </r>
  <r>
    <x v="30"/>
    <s v="Florentino"/>
    <x v="30"/>
    <n v="951987392"/>
    <x v="0"/>
    <x v="57"/>
    <x v="7"/>
    <n v="1779.43"/>
    <x v="2"/>
    <x v="2"/>
    <x v="0"/>
  </r>
  <r>
    <x v="472"/>
    <s v="Jordana"/>
    <x v="472"/>
    <n v="996524673"/>
    <x v="0"/>
    <x v="594"/>
    <x v="11"/>
    <n v="1193.8"/>
    <x v="0"/>
    <x v="2"/>
    <x v="1"/>
  </r>
  <r>
    <x v="423"/>
    <s v="Nadia"/>
    <x v="423"/>
    <n v="742835812"/>
    <x v="0"/>
    <x v="216"/>
    <x v="3"/>
    <n v="550.09"/>
    <x v="0"/>
    <x v="1"/>
    <x v="1"/>
  </r>
  <r>
    <x v="264"/>
    <s v="Raimundo"/>
    <x v="264"/>
    <n v="731372618"/>
    <x v="0"/>
    <x v="400"/>
    <x v="2"/>
    <n v="1104.57"/>
    <x v="0"/>
    <x v="1"/>
    <x v="0"/>
  </r>
  <r>
    <x v="173"/>
    <s v="Eutropio"/>
    <x v="173"/>
    <n v="735063785"/>
    <x v="1"/>
    <x v="153"/>
    <x v="1"/>
    <n v="1603.84"/>
    <x v="0"/>
    <x v="0"/>
    <x v="0"/>
  </r>
  <r>
    <x v="67"/>
    <s v="Bernarda"/>
    <x v="67"/>
    <n v="747410141"/>
    <x v="0"/>
    <x v="348"/>
    <x v="2"/>
    <n v="1066.1199999999999"/>
    <x v="0"/>
    <x v="5"/>
    <x v="0"/>
  </r>
  <r>
    <x v="171"/>
    <s v="Manolo"/>
    <x v="171"/>
    <n v="859523189"/>
    <x v="0"/>
    <x v="463"/>
    <x v="17"/>
    <n v="1658.29"/>
    <x v="0"/>
    <x v="2"/>
    <x v="0"/>
  </r>
  <r>
    <x v="173"/>
    <s v="Eutropio"/>
    <x v="173"/>
    <n v="735063785"/>
    <x v="1"/>
    <x v="62"/>
    <x v="1"/>
    <n v="532.87"/>
    <x v="0"/>
    <x v="1"/>
    <x v="1"/>
  </r>
  <r>
    <x v="419"/>
    <s v="Vera"/>
    <x v="419"/>
    <n v="660996978"/>
    <x v="1"/>
    <x v="58"/>
    <x v="3"/>
    <n v="1622.73"/>
    <x v="0"/>
    <x v="3"/>
    <x v="0"/>
  </r>
  <r>
    <x v="545"/>
    <s v="Marisa"/>
    <x v="545"/>
    <n v="732184227"/>
    <x v="1"/>
    <x v="176"/>
    <x v="19"/>
    <n v="1220.53"/>
    <x v="2"/>
    <x v="3"/>
    <x v="1"/>
  </r>
  <r>
    <x v="356"/>
    <s v="Sabina"/>
    <x v="356"/>
    <n v="938130308"/>
    <x v="1"/>
    <x v="149"/>
    <x v="4"/>
    <n v="986.36"/>
    <x v="0"/>
    <x v="4"/>
    <x v="0"/>
  </r>
  <r>
    <x v="385"/>
    <s v="Yaiza"/>
    <x v="385"/>
    <n v="639108490"/>
    <x v="0"/>
    <x v="362"/>
    <x v="16"/>
    <n v="879.88"/>
    <x v="0"/>
    <x v="2"/>
    <x v="1"/>
  </r>
  <r>
    <x v="546"/>
    <s v="Jovita"/>
    <x v="546"/>
    <n v="744321306"/>
    <x v="0"/>
    <x v="19"/>
    <x v="4"/>
    <n v="776.21"/>
    <x v="2"/>
    <x v="3"/>
    <x v="0"/>
  </r>
  <r>
    <x v="94"/>
    <s v="Martín"/>
    <x v="94"/>
    <n v="730582836"/>
    <x v="1"/>
    <x v="671"/>
    <x v="9"/>
    <n v="1919.77"/>
    <x v="0"/>
    <x v="0"/>
    <x v="0"/>
  </r>
  <r>
    <x v="209"/>
    <s v="Eli"/>
    <x v="209"/>
    <n v="726664477"/>
    <x v="0"/>
    <x v="508"/>
    <x v="19"/>
    <n v="1984.41"/>
    <x v="0"/>
    <x v="2"/>
    <x v="1"/>
  </r>
  <r>
    <x v="195"/>
    <s v="Graciano"/>
    <x v="195"/>
    <n v="745378803"/>
    <x v="1"/>
    <x v="101"/>
    <x v="6"/>
    <n v="1033.3399999999999"/>
    <x v="0"/>
    <x v="0"/>
    <x v="0"/>
  </r>
  <r>
    <x v="375"/>
    <s v="Eutropio"/>
    <x v="375"/>
    <n v="639659594"/>
    <x v="0"/>
    <x v="331"/>
    <x v="15"/>
    <n v="1977.11"/>
    <x v="0"/>
    <x v="2"/>
    <x v="1"/>
  </r>
  <r>
    <x v="313"/>
    <s v="Alonso"/>
    <x v="313"/>
    <n v="677172506"/>
    <x v="0"/>
    <x v="297"/>
    <x v="3"/>
    <n v="1849.15"/>
    <x v="0"/>
    <x v="2"/>
    <x v="1"/>
  </r>
  <r>
    <x v="55"/>
    <s v="Lino"/>
    <x v="55"/>
    <n v="743293622"/>
    <x v="0"/>
    <x v="672"/>
    <x v="19"/>
    <n v="897.39"/>
    <x v="0"/>
    <x v="1"/>
    <x v="0"/>
  </r>
  <r>
    <x v="356"/>
    <s v="Sabina"/>
    <x v="356"/>
    <n v="938130308"/>
    <x v="1"/>
    <x v="167"/>
    <x v="4"/>
    <n v="62.96"/>
    <x v="0"/>
    <x v="0"/>
    <x v="1"/>
  </r>
  <r>
    <x v="64"/>
    <s v="Julie"/>
    <x v="64"/>
    <n v="706050514"/>
    <x v="0"/>
    <x v="565"/>
    <x v="10"/>
    <n v="896.64"/>
    <x v="0"/>
    <x v="2"/>
    <x v="1"/>
  </r>
  <r>
    <x v="282"/>
    <s v="Rita"/>
    <x v="282"/>
    <n v="988674084"/>
    <x v="0"/>
    <x v="332"/>
    <x v="3"/>
    <n v="1397.25"/>
    <x v="0"/>
    <x v="2"/>
    <x v="0"/>
  </r>
  <r>
    <x v="394"/>
    <s v="Loida"/>
    <x v="394"/>
    <n v="739478837"/>
    <x v="1"/>
    <x v="379"/>
    <x v="2"/>
    <n v="492.86"/>
    <x v="0"/>
    <x v="3"/>
    <x v="0"/>
  </r>
  <r>
    <x v="300"/>
    <s v="Cintia"/>
    <x v="300"/>
    <n v="730098459"/>
    <x v="0"/>
    <x v="326"/>
    <x v="10"/>
    <n v="377.29"/>
    <x v="0"/>
    <x v="1"/>
    <x v="1"/>
  </r>
  <r>
    <x v="318"/>
    <s v="Begoña"/>
    <x v="318"/>
    <n v="722110763"/>
    <x v="2"/>
    <x v="672"/>
    <x v="13"/>
    <n v="160.24"/>
    <x v="0"/>
    <x v="2"/>
    <x v="0"/>
  </r>
  <r>
    <x v="361"/>
    <s v="Lucila"/>
    <x v="361"/>
    <n v="960053641"/>
    <x v="2"/>
    <x v="309"/>
    <x v="7"/>
    <n v="202.87"/>
    <x v="0"/>
    <x v="2"/>
    <x v="1"/>
  </r>
  <r>
    <x v="347"/>
    <s v="Perla"/>
    <x v="347"/>
    <n v="828808869"/>
    <x v="0"/>
    <x v="606"/>
    <x v="2"/>
    <n v="403.98"/>
    <x v="0"/>
    <x v="2"/>
    <x v="0"/>
  </r>
  <r>
    <x v="97"/>
    <s v="Federico"/>
    <x v="97"/>
    <n v="733325222"/>
    <x v="0"/>
    <x v="531"/>
    <x v="14"/>
    <n v="1331.04"/>
    <x v="0"/>
    <x v="3"/>
    <x v="1"/>
  </r>
  <r>
    <x v="547"/>
    <s v="Marita"/>
    <x v="547"/>
    <n v="747960711"/>
    <x v="0"/>
    <x v="289"/>
    <x v="6"/>
    <n v="267.89999999999998"/>
    <x v="1"/>
    <x v="2"/>
    <x v="1"/>
  </r>
  <r>
    <x v="23"/>
    <s v="Maricela"/>
    <x v="23"/>
    <n v="740369847"/>
    <x v="1"/>
    <x v="596"/>
    <x v="9"/>
    <n v="218.99"/>
    <x v="0"/>
    <x v="0"/>
    <x v="0"/>
  </r>
  <r>
    <x v="187"/>
    <s v="Belen"/>
    <x v="187"/>
    <n v="741972258"/>
    <x v="0"/>
    <x v="493"/>
    <x v="21"/>
    <n v="1956.51"/>
    <x v="0"/>
    <x v="3"/>
    <x v="0"/>
  </r>
  <r>
    <x v="46"/>
    <s v="Lucio"/>
    <x v="46"/>
    <n v="725414927"/>
    <x v="0"/>
    <x v="298"/>
    <x v="18"/>
    <n v="398.77"/>
    <x v="0"/>
    <x v="3"/>
    <x v="1"/>
  </r>
  <r>
    <x v="28"/>
    <s v="Pepito"/>
    <x v="28"/>
    <n v="982589898"/>
    <x v="1"/>
    <x v="140"/>
    <x v="15"/>
    <n v="1682.11"/>
    <x v="0"/>
    <x v="0"/>
    <x v="1"/>
  </r>
  <r>
    <x v="313"/>
    <s v="Alonso"/>
    <x v="313"/>
    <n v="677172506"/>
    <x v="0"/>
    <x v="189"/>
    <x v="3"/>
    <n v="1543.61"/>
    <x v="1"/>
    <x v="2"/>
    <x v="1"/>
  </r>
  <r>
    <x v="333"/>
    <s v="Cristian"/>
    <x v="333"/>
    <n v="827325070"/>
    <x v="0"/>
    <x v="46"/>
    <x v="6"/>
    <n v="1614.71"/>
    <x v="0"/>
    <x v="1"/>
    <x v="1"/>
  </r>
  <r>
    <x v="395"/>
    <s v="Fidel"/>
    <x v="395"/>
    <n v="704920235"/>
    <x v="1"/>
    <x v="222"/>
    <x v="7"/>
    <n v="393.38"/>
    <x v="0"/>
    <x v="3"/>
    <x v="1"/>
  </r>
  <r>
    <x v="215"/>
    <s v="Curro"/>
    <x v="215"/>
    <n v="728307481"/>
    <x v="0"/>
    <x v="673"/>
    <x v="3"/>
    <n v="1437.05"/>
    <x v="0"/>
    <x v="1"/>
    <x v="0"/>
  </r>
  <r>
    <x v="179"/>
    <s v="Felicidad"/>
    <x v="179"/>
    <n v="632927895"/>
    <x v="0"/>
    <x v="122"/>
    <x v="22"/>
    <n v="867.73"/>
    <x v="0"/>
    <x v="1"/>
    <x v="1"/>
  </r>
  <r>
    <x v="548"/>
    <s v="Bernardita"/>
    <x v="548"/>
    <n v="715400389"/>
    <x v="0"/>
    <x v="590"/>
    <x v="6"/>
    <n v="1539.06"/>
    <x v="2"/>
    <x v="4"/>
    <x v="0"/>
  </r>
  <r>
    <x v="78"/>
    <s v="Lino"/>
    <x v="78"/>
    <n v="699605788"/>
    <x v="1"/>
    <x v="674"/>
    <x v="7"/>
    <n v="1435.69"/>
    <x v="0"/>
    <x v="4"/>
    <x v="1"/>
  </r>
  <r>
    <x v="240"/>
    <s v="Guiomar"/>
    <x v="240"/>
    <n v="718475072"/>
    <x v="1"/>
    <x v="170"/>
    <x v="9"/>
    <n v="1430.58"/>
    <x v="2"/>
    <x v="4"/>
    <x v="1"/>
  </r>
  <r>
    <x v="411"/>
    <s v="Evangelina"/>
    <x v="411"/>
    <n v="746518380"/>
    <x v="1"/>
    <x v="350"/>
    <x v="20"/>
    <n v="1915.91"/>
    <x v="1"/>
    <x v="3"/>
    <x v="0"/>
  </r>
  <r>
    <x v="130"/>
    <s v="Juan Carlos"/>
    <x v="130"/>
    <n v="941385528"/>
    <x v="2"/>
    <x v="675"/>
    <x v="17"/>
    <n v="1044.3599999999999"/>
    <x v="1"/>
    <x v="1"/>
    <x v="0"/>
  </r>
  <r>
    <x v="134"/>
    <s v="Reynaldo"/>
    <x v="134"/>
    <n v="633388134"/>
    <x v="0"/>
    <x v="305"/>
    <x v="18"/>
    <n v="1796.06"/>
    <x v="0"/>
    <x v="2"/>
    <x v="1"/>
  </r>
  <r>
    <x v="524"/>
    <s v="Azeneth"/>
    <x v="524"/>
    <n v="727299226"/>
    <x v="0"/>
    <x v="328"/>
    <x v="19"/>
    <n v="1054.1099999999999"/>
    <x v="0"/>
    <x v="2"/>
    <x v="1"/>
  </r>
  <r>
    <x v="110"/>
    <s v="Bruno"/>
    <x v="110"/>
    <n v="721752316"/>
    <x v="1"/>
    <x v="105"/>
    <x v="17"/>
    <n v="773.84"/>
    <x v="0"/>
    <x v="1"/>
    <x v="1"/>
  </r>
  <r>
    <x v="103"/>
    <s v="Emilia"/>
    <x v="103"/>
    <n v="721361791"/>
    <x v="0"/>
    <x v="493"/>
    <x v="7"/>
    <n v="1635.43"/>
    <x v="0"/>
    <x v="2"/>
    <x v="0"/>
  </r>
  <r>
    <x v="541"/>
    <s v="Armida"/>
    <x v="541"/>
    <n v="611250688"/>
    <x v="0"/>
    <x v="88"/>
    <x v="3"/>
    <n v="628.16"/>
    <x v="0"/>
    <x v="1"/>
    <x v="1"/>
  </r>
  <r>
    <x v="70"/>
    <s v="Olalla"/>
    <x v="70"/>
    <n v="701055024"/>
    <x v="0"/>
    <x v="510"/>
    <x v="18"/>
    <n v="1428.98"/>
    <x v="0"/>
    <x v="3"/>
    <x v="0"/>
  </r>
  <r>
    <x v="371"/>
    <s v="Seve"/>
    <x v="371"/>
    <n v="722844692"/>
    <x v="1"/>
    <x v="496"/>
    <x v="15"/>
    <n v="1966.89"/>
    <x v="0"/>
    <x v="0"/>
    <x v="1"/>
  </r>
  <r>
    <x v="482"/>
    <s v="Rafaela"/>
    <x v="482"/>
    <n v="629889888"/>
    <x v="0"/>
    <x v="416"/>
    <x v="6"/>
    <n v="262.33"/>
    <x v="0"/>
    <x v="2"/>
    <x v="1"/>
  </r>
  <r>
    <x v="526"/>
    <s v="Marisa"/>
    <x v="526"/>
    <n v="738718693"/>
    <x v="1"/>
    <x v="627"/>
    <x v="4"/>
    <n v="1326.17"/>
    <x v="0"/>
    <x v="4"/>
    <x v="1"/>
  </r>
  <r>
    <x v="11"/>
    <s v="Plácido"/>
    <x v="11"/>
    <n v="806023701"/>
    <x v="0"/>
    <x v="404"/>
    <x v="6"/>
    <n v="1599.82"/>
    <x v="0"/>
    <x v="0"/>
    <x v="0"/>
  </r>
  <r>
    <x v="34"/>
    <s v="Verónica"/>
    <x v="34"/>
    <n v="806812397"/>
    <x v="1"/>
    <x v="632"/>
    <x v="1"/>
    <n v="1302.81"/>
    <x v="0"/>
    <x v="0"/>
    <x v="1"/>
  </r>
  <r>
    <x v="85"/>
    <s v="Débora"/>
    <x v="85"/>
    <n v="730479253"/>
    <x v="1"/>
    <x v="676"/>
    <x v="8"/>
    <n v="1659.66"/>
    <x v="0"/>
    <x v="3"/>
    <x v="0"/>
  </r>
  <r>
    <x v="406"/>
    <s v="Isabel"/>
    <x v="406"/>
    <n v="721786256"/>
    <x v="0"/>
    <x v="628"/>
    <x v="4"/>
    <n v="1441.41"/>
    <x v="0"/>
    <x v="2"/>
    <x v="0"/>
  </r>
  <r>
    <x v="542"/>
    <s v="Felicidad"/>
    <x v="542"/>
    <n v="707005641"/>
    <x v="0"/>
    <x v="286"/>
    <x v="14"/>
    <n v="1742.99"/>
    <x v="0"/>
    <x v="1"/>
    <x v="0"/>
  </r>
  <r>
    <x v="549"/>
    <s v="Jonatan"/>
    <x v="549"/>
    <n v="640722719"/>
    <x v="0"/>
    <x v="234"/>
    <x v="1"/>
    <n v="498.58"/>
    <x v="0"/>
    <x v="4"/>
    <x v="0"/>
  </r>
  <r>
    <x v="153"/>
    <s v="Calixta"/>
    <x v="153"/>
    <n v="732688394"/>
    <x v="0"/>
    <x v="470"/>
    <x v="6"/>
    <n v="1321.19"/>
    <x v="0"/>
    <x v="2"/>
    <x v="1"/>
  </r>
  <r>
    <x v="318"/>
    <s v="Begoña"/>
    <x v="318"/>
    <n v="722110763"/>
    <x v="2"/>
    <x v="227"/>
    <x v="13"/>
    <n v="132.41"/>
    <x v="0"/>
    <x v="1"/>
    <x v="0"/>
  </r>
  <r>
    <x v="407"/>
    <s v="Florencia"/>
    <x v="407"/>
    <n v="707329571"/>
    <x v="1"/>
    <x v="103"/>
    <x v="14"/>
    <n v="333.68"/>
    <x v="0"/>
    <x v="0"/>
    <x v="1"/>
  </r>
  <r>
    <x v="550"/>
    <s v="Kike"/>
    <x v="550"/>
    <n v="830303279"/>
    <x v="0"/>
    <x v="677"/>
    <x v="2"/>
    <n v="1261.24"/>
    <x v="0"/>
    <x v="1"/>
    <x v="0"/>
  </r>
  <r>
    <x v="200"/>
    <s v="Renata"/>
    <x v="200"/>
    <n v="710165186"/>
    <x v="0"/>
    <x v="49"/>
    <x v="13"/>
    <n v="1926.61"/>
    <x v="0"/>
    <x v="1"/>
    <x v="1"/>
  </r>
  <r>
    <x v="425"/>
    <s v="Teodoro"/>
    <x v="425"/>
    <n v="682290273"/>
    <x v="1"/>
    <x v="243"/>
    <x v="6"/>
    <n v="1940.5"/>
    <x v="0"/>
    <x v="1"/>
    <x v="0"/>
  </r>
  <r>
    <x v="61"/>
    <s v="José Ángel"/>
    <x v="61"/>
    <n v="748347564"/>
    <x v="1"/>
    <x v="344"/>
    <x v="4"/>
    <n v="265.23"/>
    <x v="0"/>
    <x v="4"/>
    <x v="1"/>
  </r>
  <r>
    <x v="174"/>
    <s v="Paz"/>
    <x v="174"/>
    <n v="803123797"/>
    <x v="0"/>
    <x v="264"/>
    <x v="18"/>
    <n v="302.27999999999997"/>
    <x v="0"/>
    <x v="2"/>
    <x v="0"/>
  </r>
  <r>
    <x v="202"/>
    <s v="Valeria"/>
    <x v="202"/>
    <n v="738447830"/>
    <x v="1"/>
    <x v="319"/>
    <x v="17"/>
    <n v="262.77999999999997"/>
    <x v="0"/>
    <x v="3"/>
    <x v="0"/>
  </r>
  <r>
    <x v="433"/>
    <s v="Anselmo"/>
    <x v="433"/>
    <n v="701538350"/>
    <x v="0"/>
    <x v="605"/>
    <x v="0"/>
    <n v="736.31"/>
    <x v="0"/>
    <x v="2"/>
    <x v="0"/>
  </r>
  <r>
    <x v="407"/>
    <s v="Florencia"/>
    <x v="407"/>
    <n v="707329571"/>
    <x v="1"/>
    <x v="647"/>
    <x v="14"/>
    <n v="1366.8"/>
    <x v="0"/>
    <x v="3"/>
    <x v="1"/>
  </r>
  <r>
    <x v="254"/>
    <s v="Jose Ramón"/>
    <x v="254"/>
    <n v="745024306"/>
    <x v="0"/>
    <x v="525"/>
    <x v="20"/>
    <n v="1345.32"/>
    <x v="0"/>
    <x v="3"/>
    <x v="1"/>
  </r>
  <r>
    <x v="50"/>
    <s v="Brunilda"/>
    <x v="50"/>
    <n v="715742102"/>
    <x v="0"/>
    <x v="372"/>
    <x v="6"/>
    <n v="1933.02"/>
    <x v="2"/>
    <x v="3"/>
    <x v="1"/>
  </r>
  <r>
    <x v="397"/>
    <s v="Maximino"/>
    <x v="397"/>
    <n v="738123474"/>
    <x v="0"/>
    <x v="528"/>
    <x v="23"/>
    <n v="732.92"/>
    <x v="0"/>
    <x v="2"/>
    <x v="0"/>
  </r>
  <r>
    <x v="203"/>
    <s v="Manu"/>
    <x v="203"/>
    <n v="739067408"/>
    <x v="0"/>
    <x v="211"/>
    <x v="12"/>
    <n v="360.06"/>
    <x v="1"/>
    <x v="2"/>
    <x v="1"/>
  </r>
  <r>
    <x v="454"/>
    <s v="Verónica"/>
    <x v="454"/>
    <n v="731576543"/>
    <x v="0"/>
    <x v="273"/>
    <x v="13"/>
    <n v="1191.17"/>
    <x v="0"/>
    <x v="1"/>
    <x v="0"/>
  </r>
  <r>
    <x v="286"/>
    <s v="Teresa"/>
    <x v="286"/>
    <n v="635448926"/>
    <x v="1"/>
    <x v="218"/>
    <x v="16"/>
    <n v="1093.58"/>
    <x v="0"/>
    <x v="1"/>
    <x v="0"/>
  </r>
  <r>
    <x v="357"/>
    <s v="Almudena"/>
    <x v="357"/>
    <n v="742320022"/>
    <x v="0"/>
    <x v="381"/>
    <x v="17"/>
    <n v="1476.57"/>
    <x v="0"/>
    <x v="3"/>
    <x v="0"/>
  </r>
  <r>
    <x v="100"/>
    <s v="Jose Miguel"/>
    <x v="100"/>
    <n v="717372411"/>
    <x v="0"/>
    <x v="126"/>
    <x v="3"/>
    <n v="1458.21"/>
    <x v="0"/>
    <x v="1"/>
    <x v="1"/>
  </r>
  <r>
    <x v="136"/>
    <s v="Nilda"/>
    <x v="136"/>
    <n v="992824041"/>
    <x v="2"/>
    <x v="678"/>
    <x v="20"/>
    <n v="40.43"/>
    <x v="2"/>
    <x v="2"/>
    <x v="0"/>
  </r>
  <r>
    <x v="530"/>
    <s v="Yésica"/>
    <x v="530"/>
    <n v="730400662"/>
    <x v="0"/>
    <x v="196"/>
    <x v="13"/>
    <n v="1237.6300000000001"/>
    <x v="0"/>
    <x v="2"/>
    <x v="1"/>
  </r>
  <r>
    <x v="5"/>
    <s v="Goyo"/>
    <x v="5"/>
    <n v="733868257"/>
    <x v="1"/>
    <x v="177"/>
    <x v="1"/>
    <n v="190.59"/>
    <x v="0"/>
    <x v="3"/>
    <x v="0"/>
  </r>
  <r>
    <x v="268"/>
    <s v="Nicolás"/>
    <x v="268"/>
    <n v="703991673"/>
    <x v="1"/>
    <x v="0"/>
    <x v="16"/>
    <n v="1042.6199999999999"/>
    <x v="0"/>
    <x v="4"/>
    <x v="0"/>
  </r>
  <r>
    <x v="441"/>
    <s v="Alicia"/>
    <x v="441"/>
    <n v="874961007"/>
    <x v="0"/>
    <x v="186"/>
    <x v="10"/>
    <n v="1909.15"/>
    <x v="0"/>
    <x v="2"/>
    <x v="1"/>
  </r>
  <r>
    <x v="252"/>
    <s v="Fabián"/>
    <x v="252"/>
    <n v="741931466"/>
    <x v="1"/>
    <x v="191"/>
    <x v="7"/>
    <n v="907.01"/>
    <x v="0"/>
    <x v="3"/>
    <x v="0"/>
  </r>
  <r>
    <x v="339"/>
    <s v="Verónica"/>
    <x v="339"/>
    <n v="923537231"/>
    <x v="0"/>
    <x v="351"/>
    <x v="19"/>
    <n v="680.97"/>
    <x v="0"/>
    <x v="2"/>
    <x v="0"/>
  </r>
  <r>
    <x v="230"/>
    <s v="Adelaida"/>
    <x v="230"/>
    <n v="680373214"/>
    <x v="0"/>
    <x v="474"/>
    <x v="5"/>
    <n v="787.47"/>
    <x v="0"/>
    <x v="2"/>
    <x v="1"/>
  </r>
  <r>
    <x v="34"/>
    <s v="Verónica"/>
    <x v="34"/>
    <n v="806812397"/>
    <x v="1"/>
    <x v="15"/>
    <x v="1"/>
    <n v="837.4"/>
    <x v="0"/>
    <x v="4"/>
    <x v="0"/>
  </r>
  <r>
    <x v="3"/>
    <s v="Basilio"/>
    <x v="3"/>
    <n v="720443658"/>
    <x v="0"/>
    <x v="617"/>
    <x v="3"/>
    <n v="251.89"/>
    <x v="0"/>
    <x v="2"/>
    <x v="0"/>
  </r>
  <r>
    <x v="82"/>
    <s v="José Luis"/>
    <x v="82"/>
    <n v="703546596"/>
    <x v="1"/>
    <x v="677"/>
    <x v="9"/>
    <n v="1939.42"/>
    <x v="0"/>
    <x v="0"/>
    <x v="1"/>
  </r>
  <r>
    <x v="49"/>
    <s v="Priscila"/>
    <x v="49"/>
    <n v="708646101"/>
    <x v="0"/>
    <x v="316"/>
    <x v="0"/>
    <n v="1669.36"/>
    <x v="1"/>
    <x v="0"/>
    <x v="1"/>
  </r>
  <r>
    <x v="154"/>
    <s v="Angelino"/>
    <x v="154"/>
    <n v="958161330"/>
    <x v="2"/>
    <x v="302"/>
    <x v="11"/>
    <n v="1161.1199999999999"/>
    <x v="0"/>
    <x v="1"/>
    <x v="1"/>
  </r>
  <r>
    <x v="45"/>
    <s v="Maxi"/>
    <x v="45"/>
    <n v="726799934"/>
    <x v="1"/>
    <x v="63"/>
    <x v="7"/>
    <n v="532.35"/>
    <x v="2"/>
    <x v="0"/>
    <x v="0"/>
  </r>
  <r>
    <x v="91"/>
    <s v="Chita"/>
    <x v="91"/>
    <n v="702654485"/>
    <x v="0"/>
    <x v="678"/>
    <x v="2"/>
    <n v="1935.88"/>
    <x v="0"/>
    <x v="2"/>
    <x v="0"/>
  </r>
  <r>
    <x v="171"/>
    <s v="Manolo"/>
    <x v="171"/>
    <n v="859523189"/>
    <x v="0"/>
    <x v="34"/>
    <x v="17"/>
    <n v="1539.43"/>
    <x v="0"/>
    <x v="4"/>
    <x v="1"/>
  </r>
  <r>
    <x v="54"/>
    <s v="Pascual"/>
    <x v="54"/>
    <n v="743862708"/>
    <x v="0"/>
    <x v="283"/>
    <x v="8"/>
    <n v="37.26"/>
    <x v="2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20A4F7-D119-477C-B05D-B7703732F52C}" name="TablaDinámica5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65:N69" firstHeaderRow="1" firstDataRow="1" firstDataCol="1"/>
  <pivotFields count="14">
    <pivotField showAll="0"/>
    <pivotField showAll="0"/>
    <pivotField showAll="0"/>
    <pivotField showAll="0"/>
    <pivotField showAll="0"/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7" baseField="0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205E05-2F53-4EA4-B8D3-2AC7AA7523F9}" name="PorcentajeEstad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M43:N47" firstHeaderRow="1" firstDataRow="1" firstDataCol="1"/>
  <pivotFields count="14">
    <pivotField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>
      <items count="3">
        <item x="0"/>
        <item x="1"/>
        <item t="default"/>
      </items>
    </pivotField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7" baseField="0" baseItem="0" numFmtId="44"/>
  </dataFields>
  <chartFormats count="2">
    <chartFormat chart="11" format="8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3F876-6480-411C-A2E3-7FA9E7FCF3A7}" name="BeneficiosTipoPedido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3">
  <location ref="I43:J46" firstHeaderRow="1" firstDataRow="1" firstDataCol="1"/>
  <pivotFields count="14">
    <pivotField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0"/>
  </rowFields>
  <rowItems count="3">
    <i>
      <x/>
    </i>
    <i>
      <x v="1"/>
    </i>
    <i t="grand">
      <x/>
    </i>
  </rowItems>
  <colItems count="1">
    <i/>
  </colItems>
  <dataFields count="1">
    <dataField name="Suma de Total Gastado" fld="7" baseField="0" baseItem="0" numFmtId="44"/>
  </dataFields>
  <chartFormats count="2">
    <chartFormat chart="12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B7ED0-C3D2-4920-93BD-8639E8828EA7}" name="BeneficiosProvincia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7">
  <location ref="B28:C53" firstHeaderRow="1" firstDataRow="1" firstDataCol="1"/>
  <pivotFields count="14">
    <pivotField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axis="axisRow" showAll="0">
      <items count="25">
        <item x="22"/>
        <item x="11"/>
        <item x="6"/>
        <item x="3"/>
        <item x="23"/>
        <item x="8"/>
        <item x="2"/>
        <item x="4"/>
        <item x="12"/>
        <item x="5"/>
        <item x="13"/>
        <item x="17"/>
        <item x="7"/>
        <item x="0"/>
        <item x="16"/>
        <item x="9"/>
        <item x="14"/>
        <item x="20"/>
        <item x="15"/>
        <item x="10"/>
        <item x="21"/>
        <item x="18"/>
        <item x="1"/>
        <item x="19"/>
        <item t="default"/>
      </items>
    </pivotField>
    <pivotField dataField="1" numFmtId="44"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6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uma de Total Gastado" fld="7" baseField="0" baseItem="0" numFmtId="44"/>
  </dataFields>
  <chartFormats count="2">
    <chartFormat chart="11" format="5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0BD140-E9DE-4C44-9B04-2BD56BB985FB}" name="BeneficiosTiempo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0">
  <location ref="H22:I35" firstHeaderRow="1" firstDataRow="1" firstDataCol="1"/>
  <pivotFields count="14">
    <pivotField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showAll="0"/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sd="0" x="0"/>
        <item x="1"/>
        <item x="2"/>
        <item x="3"/>
        <item sd="0" x="4"/>
        <item t="default"/>
      </items>
    </pivotField>
  </pivotFields>
  <rowFields count="3">
    <field x="13"/>
    <field x="12"/>
    <field x="11"/>
  </rowFields>
  <rowItems count="13">
    <i>
      <x v="1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>
      <x v="3"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Total Gastado" fld="7" baseField="0" baseItem="0" numFmtId="44"/>
  </dataFields>
  <chartFormats count="10">
    <chartFormat chart="5" format="9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9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95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2"/>
          </reference>
        </references>
      </pivotArea>
    </chartFormat>
    <chartFormat chart="5" format="96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chartFormat>
    <chartFormat chart="5" format="97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chartFormat>
    <chartFormat chart="5" format="98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5" format="99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5" format="10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3"/>
          </reference>
        </references>
      </pivotArea>
    </chartFormat>
    <chartFormat chart="5" format="101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3"/>
          </reference>
        </references>
      </pivotArea>
    </chartFormat>
    <chartFormat chart="5" format="102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3"/>
          </reference>
        </references>
      </pivotArea>
    </chartFormat>
  </chartFormat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D3BC49-F010-476E-AA96-D429CB2499DB}" name="TablaDinámica3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E22:E23" firstHeaderRow="1" firstDataRow="1" firstDataCol="0" rowPageCount="1" colPageCount="1"/>
  <pivotFields count="14">
    <pivotField dataField="1"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8" hier="-1"/>
  </pageField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194110-8114-41C4-ABDA-8F350AD59BFA}" name="TablaDinámica2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15:P19" firstHeaderRow="1" firstDataRow="1" firstDataCol="1"/>
  <pivotFields count="14">
    <pivotField dataField="1"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numFmtId="44"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DNI" fld="0" subtotal="count" baseField="0" baseItem="0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C99A7-03D7-4190-A41E-A87A18BD9157}" name="TablaDinámica1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12">
  <location ref="O7:P11" firstHeaderRow="1" firstDataRow="1" firstDataCol="1"/>
  <pivotFields count="14">
    <pivotField showAll="0">
      <items count="552">
        <item x="246"/>
        <item x="487"/>
        <item x="390"/>
        <item x="274"/>
        <item x="111"/>
        <item x="466"/>
        <item x="215"/>
        <item x="484"/>
        <item x="514"/>
        <item x="396"/>
        <item x="495"/>
        <item x="520"/>
        <item x="497"/>
        <item x="530"/>
        <item x="14"/>
        <item x="478"/>
        <item x="532"/>
        <item x="519"/>
        <item x="71"/>
        <item x="17"/>
        <item x="83"/>
        <item x="315"/>
        <item x="352"/>
        <item x="472"/>
        <item x="385"/>
        <item x="319"/>
        <item x="42"/>
        <item x="46"/>
        <item x="541"/>
        <item x="363"/>
        <item x="336"/>
        <item x="140"/>
        <item x="504"/>
        <item x="63"/>
        <item x="62"/>
        <item x="339"/>
        <item x="197"/>
        <item x="480"/>
        <item x="240"/>
        <item x="210"/>
        <item x="268"/>
        <item x="12"/>
        <item x="207"/>
        <item x="539"/>
        <item x="376"/>
        <item x="314"/>
        <item x="282"/>
        <item x="50"/>
        <item x="404"/>
        <item x="538"/>
        <item x="127"/>
        <item x="228"/>
        <item x="281"/>
        <item x="261"/>
        <item x="443"/>
        <item x="155"/>
        <item x="92"/>
        <item x="346"/>
        <item x="340"/>
        <item x="422"/>
        <item x="449"/>
        <item x="299"/>
        <item x="58"/>
        <item x="429"/>
        <item x="99"/>
        <item x="183"/>
        <item x="94"/>
        <item x="288"/>
        <item x="130"/>
        <item x="20"/>
        <item x="327"/>
        <item x="86"/>
        <item x="475"/>
        <item x="392"/>
        <item x="485"/>
        <item x="204"/>
        <item x="298"/>
        <item x="169"/>
        <item x="156"/>
        <item x="269"/>
        <item x="214"/>
        <item x="325"/>
        <item x="178"/>
        <item x="468"/>
        <item x="56"/>
        <item x="115"/>
        <item x="175"/>
        <item x="101"/>
        <item x="243"/>
        <item x="110"/>
        <item x="359"/>
        <item x="195"/>
        <item x="419"/>
        <item x="450"/>
        <item x="153"/>
        <item x="162"/>
        <item x="369"/>
        <item x="45"/>
        <item x="388"/>
        <item x="198"/>
        <item x="84"/>
        <item x="182"/>
        <item x="225"/>
        <item x="476"/>
        <item x="9"/>
        <item x="194"/>
        <item x="312"/>
        <item x="133"/>
        <item x="297"/>
        <item x="223"/>
        <item x="494"/>
        <item x="365"/>
        <item x="431"/>
        <item x="401"/>
        <item x="366"/>
        <item x="493"/>
        <item x="386"/>
        <item x="93"/>
        <item x="64"/>
        <item x="125"/>
        <item x="23"/>
        <item x="216"/>
        <item x="318"/>
        <item x="152"/>
        <item x="307"/>
        <item x="65"/>
        <item x="279"/>
        <item x="424"/>
        <item x="379"/>
        <item x="292"/>
        <item x="218"/>
        <item x="80"/>
        <item x="191"/>
        <item x="272"/>
        <item x="500"/>
        <item x="142"/>
        <item x="342"/>
        <item x="384"/>
        <item x="524"/>
        <item x="489"/>
        <item x="75"/>
        <item x="547"/>
        <item x="300"/>
        <item x="257"/>
        <item x="59"/>
        <item x="544"/>
        <item x="73"/>
        <item x="208"/>
        <item x="328"/>
        <item x="247"/>
        <item x="35"/>
        <item x="232"/>
        <item x="285"/>
        <item x="129"/>
        <item x="173"/>
        <item x="38"/>
        <item x="351"/>
        <item x="177"/>
        <item x="412"/>
        <item x="165"/>
        <item x="108"/>
        <item x="506"/>
        <item x="231"/>
        <item x="373"/>
        <item x="361"/>
        <item x="415"/>
        <item x="508"/>
        <item x="278"/>
        <item x="440"/>
        <item x="76"/>
        <item x="211"/>
        <item x="39"/>
        <item x="444"/>
        <item x="30"/>
        <item x="316"/>
        <item x="242"/>
        <item x="103"/>
        <item x="241"/>
        <item x="113"/>
        <item x="52"/>
        <item x="526"/>
        <item x="460"/>
        <item x="461"/>
        <item x="104"/>
        <item x="226"/>
        <item x="260"/>
        <item x="148"/>
        <item x="418"/>
        <item x="2"/>
        <item x="447"/>
        <item x="311"/>
        <item x="213"/>
        <item x="259"/>
        <item x="391"/>
        <item x="309"/>
        <item x="267"/>
        <item x="535"/>
        <item x="417"/>
        <item x="87"/>
        <item x="322"/>
        <item x="451"/>
        <item x="400"/>
        <item x="206"/>
        <item x="89"/>
        <item x="47"/>
        <item x="511"/>
        <item x="438"/>
        <item x="296"/>
        <item x="34"/>
        <item x="367"/>
        <item x="22"/>
        <item x="469"/>
        <item x="236"/>
        <item x="326"/>
        <item x="542"/>
        <item x="266"/>
        <item x="540"/>
        <item x="293"/>
        <item x="445"/>
        <item x="276"/>
        <item x="454"/>
        <item x="7"/>
        <item x="462"/>
        <item x="402"/>
        <item x="287"/>
        <item x="176"/>
        <item x="548"/>
        <item x="409"/>
        <item x="116"/>
        <item x="426"/>
        <item x="3"/>
        <item x="380"/>
        <item x="25"/>
        <item x="138"/>
        <item x="410"/>
        <item x="151"/>
        <item x="209"/>
        <item x="420"/>
        <item x="265"/>
        <item x="167"/>
        <item x="389"/>
        <item x="453"/>
        <item x="344"/>
        <item x="255"/>
        <item x="458"/>
        <item x="252"/>
        <item x="37"/>
        <item x="537"/>
        <item x="457"/>
        <item x="471"/>
        <item x="486"/>
        <item x="501"/>
        <item x="491"/>
        <item x="217"/>
        <item x="146"/>
        <item x="306"/>
        <item x="27"/>
        <item x="464"/>
        <item x="134"/>
        <item x="499"/>
        <item x="448"/>
        <item x="397"/>
        <item x="222"/>
        <item x="69"/>
        <item x="387"/>
        <item x="180"/>
        <item x="364"/>
        <item x="16"/>
        <item x="109"/>
        <item x="333"/>
        <item x="150"/>
        <item x="18"/>
        <item x="467"/>
        <item x="354"/>
        <item x="350"/>
        <item x="403"/>
        <item x="70"/>
        <item x="141"/>
        <item x="221"/>
        <item x="144"/>
        <item x="463"/>
        <item x="159"/>
        <item x="536"/>
        <item x="317"/>
        <item x="15"/>
        <item x="470"/>
        <item x="323"/>
        <item x="171"/>
        <item x="41"/>
        <item x="90"/>
        <item x="81"/>
        <item x="459"/>
        <item x="72"/>
        <item x="235"/>
        <item x="521"/>
        <item x="233"/>
        <item x="331"/>
        <item x="304"/>
        <item x="43"/>
        <item x="436"/>
        <item x="509"/>
        <item x="196"/>
        <item x="249"/>
        <item x="374"/>
        <item x="360"/>
        <item x="348"/>
        <item x="54"/>
        <item x="131"/>
        <item x="534"/>
        <item x="349"/>
        <item x="513"/>
        <item x="280"/>
        <item x="362"/>
        <item x="139"/>
        <item x="5"/>
        <item x="168"/>
        <item x="275"/>
        <item x="79"/>
        <item x="516"/>
        <item x="437"/>
        <item x="67"/>
        <item x="44"/>
        <item x="8"/>
        <item x="531"/>
        <item x="33"/>
        <item x="68"/>
        <item x="120"/>
        <item x="413"/>
        <item x="147"/>
        <item x="488"/>
        <item x="273"/>
        <item x="320"/>
        <item x="88"/>
        <item x="378"/>
        <item x="353"/>
        <item x="382"/>
        <item x="355"/>
        <item x="137"/>
        <item x="492"/>
        <item x="338"/>
        <item x="439"/>
        <item x="237"/>
        <item x="334"/>
        <item x="122"/>
        <item x="434"/>
        <item x="286"/>
        <item x="188"/>
        <item x="74"/>
        <item x="302"/>
        <item x="452"/>
        <item x="135"/>
        <item x="512"/>
        <item x="244"/>
        <item x="161"/>
        <item x="251"/>
        <item x="11"/>
        <item x="433"/>
        <item x="82"/>
        <item x="398"/>
        <item x="357"/>
        <item x="411"/>
        <item x="502"/>
        <item x="474"/>
        <item x="112"/>
        <item x="102"/>
        <item x="13"/>
        <item x="294"/>
        <item x="119"/>
        <item x="455"/>
        <item x="442"/>
        <item x="525"/>
        <item x="6"/>
        <item x="507"/>
        <item x="446"/>
        <item x="496"/>
        <item x="61"/>
        <item x="517"/>
        <item x="51"/>
        <item x="128"/>
        <item x="164"/>
        <item x="77"/>
        <item x="432"/>
        <item x="201"/>
        <item x="36"/>
        <item x="295"/>
        <item x="96"/>
        <item x="503"/>
        <item x="0"/>
        <item x="550"/>
        <item x="248"/>
        <item x="258"/>
        <item x="372"/>
        <item x="543"/>
        <item x="78"/>
        <item x="416"/>
        <item x="179"/>
        <item x="303"/>
        <item x="253"/>
        <item x="60"/>
        <item x="160"/>
        <item x="414"/>
        <item x="157"/>
        <item x="245"/>
        <item x="239"/>
        <item x="329"/>
        <item x="343"/>
        <item x="425"/>
        <item x="549"/>
        <item x="277"/>
        <item x="522"/>
        <item x="40"/>
        <item x="31"/>
        <item x="114"/>
        <item x="545"/>
        <item x="19"/>
        <item x="26"/>
        <item x="85"/>
        <item x="399"/>
        <item x="172"/>
        <item x="190"/>
        <item x="10"/>
        <item x="193"/>
        <item x="283"/>
        <item x="1"/>
        <item x="57"/>
        <item x="515"/>
        <item x="143"/>
        <item x="393"/>
        <item x="368"/>
        <item x="528"/>
        <item x="465"/>
        <item x="250"/>
        <item x="28"/>
        <item x="95"/>
        <item x="124"/>
        <item x="427"/>
        <item x="107"/>
        <item x="481"/>
        <item x="428"/>
        <item x="21"/>
        <item x="199"/>
        <item x="212"/>
        <item x="498"/>
        <item x="473"/>
        <item x="505"/>
        <item x="533"/>
        <item x="483"/>
        <item x="421"/>
        <item x="430"/>
        <item x="97"/>
        <item x="477"/>
        <item x="262"/>
        <item x="408"/>
        <item x="91"/>
        <item x="105"/>
        <item x="202"/>
        <item x="145"/>
        <item x="154"/>
        <item x="518"/>
        <item x="200"/>
        <item x="29"/>
        <item x="270"/>
        <item x="337"/>
        <item x="189"/>
        <item x="203"/>
        <item x="181"/>
        <item x="184"/>
        <item x="185"/>
        <item x="546"/>
        <item x="479"/>
        <item x="121"/>
        <item x="313"/>
        <item x="383"/>
        <item x="256"/>
        <item x="32"/>
        <item x="53"/>
        <item x="187"/>
        <item x="24"/>
        <item x="118"/>
        <item x="117"/>
        <item x="527"/>
        <item x="290"/>
        <item x="395"/>
        <item x="406"/>
        <item x="330"/>
        <item x="394"/>
        <item x="163"/>
        <item x="370"/>
        <item x="423"/>
        <item x="49"/>
        <item x="55"/>
        <item x="291"/>
        <item x="234"/>
        <item x="254"/>
        <item x="123"/>
        <item x="186"/>
        <item x="523"/>
        <item x="174"/>
        <item x="441"/>
        <item x="305"/>
        <item x="219"/>
        <item x="405"/>
        <item x="490"/>
        <item x="456"/>
        <item x="66"/>
        <item x="166"/>
        <item x="435"/>
        <item x="263"/>
        <item x="482"/>
        <item x="132"/>
        <item x="345"/>
        <item x="98"/>
        <item x="192"/>
        <item x="381"/>
        <item x="371"/>
        <item x="308"/>
        <item x="284"/>
        <item x="100"/>
        <item x="126"/>
        <item x="301"/>
        <item x="289"/>
        <item x="332"/>
        <item x="407"/>
        <item x="271"/>
        <item x="48"/>
        <item x="341"/>
        <item x="529"/>
        <item x="375"/>
        <item x="149"/>
        <item x="358"/>
        <item x="324"/>
        <item x="238"/>
        <item x="136"/>
        <item x="310"/>
        <item x="230"/>
        <item x="321"/>
        <item x="347"/>
        <item x="170"/>
        <item x="4"/>
        <item x="158"/>
        <item x="510"/>
        <item x="224"/>
        <item x="229"/>
        <item x="335"/>
        <item x="356"/>
        <item x="377"/>
        <item x="264"/>
        <item x="106"/>
        <item x="205"/>
        <item x="220"/>
        <item x="227"/>
        <item t="default"/>
      </items>
    </pivotField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Row" showAll="0">
      <items count="4">
        <item x="2"/>
        <item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 defaultSubtotal="0"/>
    <pivotField showAll="0" defaultSubtotal="0"/>
    <pivotField showAll="0" defaultSubtotal="0">
      <items count="5">
        <item x="0"/>
        <item x="1"/>
        <item x="2"/>
        <item x="3"/>
        <item x="4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Total Gastado" fld="7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57FAF4-B33B-4D54-9A03-DAE18CC9A143}" name="KPIBeneficiosNetos" cacheId="7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B22:B23" firstHeaderRow="1" firstDataRow="1" firstDataCol="0" rowPageCount="1" colPageCount="1"/>
  <pivotFields count="14">
    <pivotField showAll="0"/>
    <pivotField showAll="0"/>
    <pivotField showAll="0"/>
    <pivotField showAll="0"/>
    <pivotField showAll="0">
      <items count="4">
        <item x="1"/>
        <item x="0"/>
        <item x="2"/>
        <item t="default"/>
      </items>
    </pivotField>
    <pivotField numFmtId="14" showAll="0">
      <items count="680">
        <item x="478"/>
        <item x="484"/>
        <item x="469"/>
        <item x="371"/>
        <item x="155"/>
        <item x="182"/>
        <item x="589"/>
        <item x="562"/>
        <item x="325"/>
        <item x="475"/>
        <item x="305"/>
        <item x="651"/>
        <item x="662"/>
        <item x="247"/>
        <item x="557"/>
        <item x="5"/>
        <item x="141"/>
        <item x="565"/>
        <item x="312"/>
        <item x="98"/>
        <item x="14"/>
        <item x="10"/>
        <item x="179"/>
        <item x="222"/>
        <item x="654"/>
        <item x="542"/>
        <item x="375"/>
        <item x="524"/>
        <item x="568"/>
        <item x="528"/>
        <item x="11"/>
        <item x="240"/>
        <item x="431"/>
        <item x="368"/>
        <item x="612"/>
        <item x="151"/>
        <item x="260"/>
        <item x="261"/>
        <item x="434"/>
        <item x="580"/>
        <item x="73"/>
        <item x="466"/>
        <item x="120"/>
        <item x="265"/>
        <item x="48"/>
        <item x="12"/>
        <item x="623"/>
        <item x="202"/>
        <item x="544"/>
        <item x="538"/>
        <item x="590"/>
        <item x="632"/>
        <item x="351"/>
        <item x="657"/>
        <item x="239"/>
        <item x="78"/>
        <item x="57"/>
        <item x="378"/>
        <item x="318"/>
        <item x="297"/>
        <item x="110"/>
        <item x="505"/>
        <item x="507"/>
        <item x="178"/>
        <item x="287"/>
        <item x="27"/>
        <item x="74"/>
        <item x="209"/>
        <item x="404"/>
        <item x="29"/>
        <item x="621"/>
        <item x="315"/>
        <item x="53"/>
        <item x="79"/>
        <item x="338"/>
        <item x="529"/>
        <item x="605"/>
        <item x="376"/>
        <item x="298"/>
        <item x="15"/>
        <item x="77"/>
        <item x="235"/>
        <item x="307"/>
        <item x="647"/>
        <item x="309"/>
        <item x="75"/>
        <item x="373"/>
        <item x="174"/>
        <item x="245"/>
        <item x="410"/>
        <item x="498"/>
        <item x="540"/>
        <item x="214"/>
        <item x="84"/>
        <item x="422"/>
        <item x="483"/>
        <item x="206"/>
        <item x="668"/>
        <item x="161"/>
        <item x="71"/>
        <item x="345"/>
        <item x="526"/>
        <item x="162"/>
        <item x="249"/>
        <item x="95"/>
        <item x="563"/>
        <item x="530"/>
        <item x="416"/>
        <item x="232"/>
        <item x="658"/>
        <item x="566"/>
        <item x="244"/>
        <item x="588"/>
        <item x="16"/>
        <item x="609"/>
        <item x="419"/>
        <item x="76"/>
        <item x="330"/>
        <item x="460"/>
        <item x="135"/>
        <item x="385"/>
        <item x="308"/>
        <item x="358"/>
        <item x="379"/>
        <item x="194"/>
        <item x="676"/>
        <item x="401"/>
        <item x="653"/>
        <item x="381"/>
        <item x="457"/>
        <item x="191"/>
        <item x="147"/>
        <item x="597"/>
        <item x="9"/>
        <item x="502"/>
        <item x="173"/>
        <item x="449"/>
        <item x="390"/>
        <item x="282"/>
        <item x="266"/>
        <item x="570"/>
        <item x="137"/>
        <item x="1"/>
        <item x="81"/>
        <item x="539"/>
        <item x="543"/>
        <item x="292"/>
        <item x="561"/>
        <item x="94"/>
        <item x="324"/>
        <item x="516"/>
        <item x="386"/>
        <item x="300"/>
        <item x="164"/>
        <item x="352"/>
        <item x="186"/>
        <item x="481"/>
        <item x="667"/>
        <item x="52"/>
        <item x="426"/>
        <item x="40"/>
        <item x="304"/>
        <item x="594"/>
        <item x="394"/>
        <item x="509"/>
        <item x="587"/>
        <item x="115"/>
        <item x="408"/>
        <item x="453"/>
        <item x="56"/>
        <item x="289"/>
        <item x="203"/>
        <item x="606"/>
        <item x="267"/>
        <item x="255"/>
        <item x="462"/>
        <item x="675"/>
        <item x="124"/>
        <item x="258"/>
        <item x="285"/>
        <item x="171"/>
        <item x="573"/>
        <item x="150"/>
        <item x="20"/>
        <item x="480"/>
        <item x="553"/>
        <item x="33"/>
        <item x="362"/>
        <item x="584"/>
        <item x="90"/>
        <item x="276"/>
        <item x="413"/>
        <item x="92"/>
        <item x="156"/>
        <item x="626"/>
        <item x="107"/>
        <item x="487"/>
        <item x="398"/>
        <item x="650"/>
        <item x="496"/>
        <item x="441"/>
        <item x="193"/>
        <item x="0"/>
        <item x="432"/>
        <item x="263"/>
        <item x="190"/>
        <item x="230"/>
        <item x="486"/>
        <item x="63"/>
        <item x="168"/>
        <item x="46"/>
        <item x="445"/>
        <item x="671"/>
        <item x="104"/>
        <item x="160"/>
        <item x="575"/>
        <item x="363"/>
        <item x="628"/>
        <item x="443"/>
        <item x="417"/>
        <item x="66"/>
        <item x="512"/>
        <item x="290"/>
        <item x="93"/>
        <item x="652"/>
        <item x="572"/>
        <item x="329"/>
        <item x="7"/>
        <item x="262"/>
        <item x="534"/>
        <item x="38"/>
        <item x="433"/>
        <item x="31"/>
        <item x="140"/>
        <item x="464"/>
        <item x="145"/>
        <item x="101"/>
        <item x="617"/>
        <item x="387"/>
        <item x="89"/>
        <item x="60"/>
        <item x="399"/>
        <item x="559"/>
        <item x="246"/>
        <item x="618"/>
        <item x="326"/>
        <item x="578"/>
        <item x="456"/>
        <item x="224"/>
        <item x="204"/>
        <item x="446"/>
        <item x="634"/>
        <item x="601"/>
        <item x="237"/>
        <item x="306"/>
        <item x="405"/>
        <item x="3"/>
        <item x="144"/>
        <item x="536"/>
        <item x="197"/>
        <item x="130"/>
        <item x="234"/>
        <item x="436"/>
        <item x="153"/>
        <item x="109"/>
        <item x="64"/>
        <item x="118"/>
        <item x="231"/>
        <item x="639"/>
        <item x="106"/>
        <item x="70"/>
        <item x="91"/>
        <item x="242"/>
        <item x="465"/>
        <item x="44"/>
        <item x="314"/>
        <item x="666"/>
        <item x="499"/>
        <item x="32"/>
        <item x="470"/>
        <item x="37"/>
        <item x="293"/>
        <item x="506"/>
        <item x="72"/>
        <item x="642"/>
        <item x="225"/>
        <item x="604"/>
        <item x="337"/>
        <item x="88"/>
        <item x="286"/>
        <item x="451"/>
        <item x="472"/>
        <item x="511"/>
        <item x="284"/>
        <item x="122"/>
        <item x="58"/>
        <item x="172"/>
        <item x="97"/>
        <item x="154"/>
        <item x="125"/>
        <item x="357"/>
        <item x="294"/>
        <item x="547"/>
        <item x="264"/>
        <item x="80"/>
        <item x="637"/>
        <item x="603"/>
        <item x="252"/>
        <item x="170"/>
        <item x="152"/>
        <item x="414"/>
        <item x="391"/>
        <item x="216"/>
        <item x="288"/>
        <item x="491"/>
        <item x="283"/>
        <item x="192"/>
        <item x="196"/>
        <item x="599"/>
        <item x="334"/>
        <item x="418"/>
        <item x="87"/>
        <item x="659"/>
        <item x="585"/>
        <item x="602"/>
        <item x="45"/>
        <item x="625"/>
        <item x="184"/>
        <item x="210"/>
        <item x="655"/>
        <item x="541"/>
        <item x="558"/>
        <item x="39"/>
        <item x="673"/>
        <item x="188"/>
        <item x="30"/>
        <item x="514"/>
        <item x="415"/>
        <item x="476"/>
        <item x="82"/>
        <item x="6"/>
        <item x="556"/>
        <item x="586"/>
        <item x="471"/>
        <item x="207"/>
        <item x="238"/>
        <item x="596"/>
        <item x="374"/>
        <item x="17"/>
        <item x="527"/>
        <item x="54"/>
        <item x="611"/>
        <item x="546"/>
        <item x="205"/>
        <item x="579"/>
        <item x="317"/>
        <item x="83"/>
        <item x="454"/>
        <item x="407"/>
        <item x="560"/>
        <item x="185"/>
        <item x="392"/>
        <item x="241"/>
        <item x="100"/>
        <item x="492"/>
        <item x="187"/>
        <item x="564"/>
        <item x="670"/>
        <item x="136"/>
        <item x="482"/>
        <item x="383"/>
        <item x="149"/>
        <item x="142"/>
        <item x="316"/>
        <item x="365"/>
        <item x="382"/>
        <item x="116"/>
        <item x="525"/>
        <item x="331"/>
        <item x="301"/>
        <item x="2"/>
        <item x="354"/>
        <item x="452"/>
        <item x="367"/>
        <item x="656"/>
        <item x="347"/>
        <item x="574"/>
        <item x="630"/>
        <item x="169"/>
        <item x="129"/>
        <item x="523"/>
        <item x="455"/>
        <item x="397"/>
        <item x="35"/>
        <item x="103"/>
        <item x="200"/>
        <item x="459"/>
        <item x="677"/>
        <item x="340"/>
        <item x="335"/>
        <item x="259"/>
        <item x="425"/>
        <item x="497"/>
        <item x="377"/>
        <item x="199"/>
        <item x="663"/>
        <item x="444"/>
        <item x="583"/>
        <item x="619"/>
        <item x="22"/>
        <item x="380"/>
        <item x="638"/>
        <item x="608"/>
        <item x="175"/>
        <item x="148"/>
        <item x="648"/>
        <item x="126"/>
        <item x="313"/>
        <item x="550"/>
        <item x="36"/>
        <item x="256"/>
        <item x="322"/>
        <item x="629"/>
        <item x="111"/>
        <item x="212"/>
        <item x="21"/>
        <item x="348"/>
        <item x="213"/>
        <item x="500"/>
        <item x="467"/>
        <item x="195"/>
        <item x="495"/>
        <item x="333"/>
        <item x="114"/>
        <item x="291"/>
        <item x="576"/>
        <item x="296"/>
        <item x="341"/>
        <item x="319"/>
        <item x="665"/>
        <item x="678"/>
        <item x="320"/>
        <item x="233"/>
        <item x="198"/>
        <item x="146"/>
        <item x="366"/>
        <item x="361"/>
        <item x="339"/>
        <item x="409"/>
        <item x="275"/>
        <item x="221"/>
        <item x="163"/>
        <item x="13"/>
        <item x="660"/>
        <item x="281"/>
        <item x="356"/>
        <item x="600"/>
        <item x="429"/>
        <item x="105"/>
        <item x="165"/>
        <item x="343"/>
        <item x="595"/>
        <item x="477"/>
        <item x="159"/>
        <item x="646"/>
        <item x="627"/>
        <item x="518"/>
        <item x="86"/>
        <item x="421"/>
        <item x="439"/>
        <item x="494"/>
        <item x="253"/>
        <item x="624"/>
        <item x="51"/>
        <item x="102"/>
        <item x="270"/>
        <item x="254"/>
        <item x="631"/>
        <item x="158"/>
        <item x="47"/>
        <item x="513"/>
        <item x="273"/>
        <item x="473"/>
        <item x="346"/>
        <item x="501"/>
        <item x="68"/>
        <item x="353"/>
        <item x="396"/>
        <item x="311"/>
        <item x="614"/>
        <item x="571"/>
        <item x="342"/>
        <item x="649"/>
        <item x="226"/>
        <item x="520"/>
        <item x="208"/>
        <item x="412"/>
        <item x="645"/>
        <item x="463"/>
        <item x="474"/>
        <item x="669"/>
        <item x="598"/>
        <item x="183"/>
        <item x="134"/>
        <item x="299"/>
        <item x="423"/>
        <item x="280"/>
        <item x="132"/>
        <item x="69"/>
        <item x="303"/>
        <item x="34"/>
        <item x="364"/>
        <item x="119"/>
        <item x="65"/>
        <item x="489"/>
        <item x="447"/>
        <item x="18"/>
        <item x="217"/>
        <item x="620"/>
        <item x="555"/>
        <item x="458"/>
        <item x="369"/>
        <item x="567"/>
        <item x="420"/>
        <item x="577"/>
        <item x="4"/>
        <item x="644"/>
        <item x="370"/>
        <item x="121"/>
        <item x="248"/>
        <item x="359"/>
        <item x="485"/>
        <item x="545"/>
        <item x="503"/>
        <item x="400"/>
        <item x="372"/>
        <item x="128"/>
        <item x="59"/>
        <item x="268"/>
        <item x="504"/>
        <item x="250"/>
        <item x="42"/>
        <item x="41"/>
        <item x="622"/>
        <item x="552"/>
        <item x="406"/>
        <item x="437"/>
        <item x="533"/>
        <item x="278"/>
        <item x="143"/>
        <item x="302"/>
        <item x="327"/>
        <item x="277"/>
        <item x="593"/>
        <item x="616"/>
        <item x="615"/>
        <item x="26"/>
        <item x="274"/>
        <item x="85"/>
        <item x="517"/>
        <item x="49"/>
        <item x="310"/>
        <item x="295"/>
        <item x="535"/>
        <item x="123"/>
        <item x="537"/>
        <item x="180"/>
        <item x="166"/>
        <item x="490"/>
        <item x="201"/>
        <item x="229"/>
        <item x="403"/>
        <item x="461"/>
        <item x="113"/>
        <item x="219"/>
        <item x="236"/>
        <item x="427"/>
        <item x="430"/>
        <item x="424"/>
        <item x="321"/>
        <item x="522"/>
        <item x="139"/>
        <item x="592"/>
        <item x="384"/>
        <item x="23"/>
        <item x="272"/>
        <item x="531"/>
        <item x="218"/>
        <item x="435"/>
        <item x="133"/>
        <item x="349"/>
        <item x="442"/>
        <item x="450"/>
        <item x="112"/>
        <item x="350"/>
        <item x="448"/>
        <item x="440"/>
        <item x="279"/>
        <item x="344"/>
        <item x="167"/>
        <item x="24"/>
        <item x="181"/>
        <item x="389"/>
        <item x="55"/>
        <item x="19"/>
        <item x="25"/>
        <item x="402"/>
        <item x="488"/>
        <item x="515"/>
        <item x="479"/>
        <item x="269"/>
        <item x="50"/>
        <item x="549"/>
        <item x="633"/>
        <item x="61"/>
        <item x="532"/>
        <item x="211"/>
        <item x="636"/>
        <item x="674"/>
        <item x="189"/>
        <item x="332"/>
        <item x="519"/>
        <item x="127"/>
        <item x="569"/>
        <item x="62"/>
        <item x="551"/>
        <item x="215"/>
        <item x="635"/>
        <item x="508"/>
        <item x="661"/>
        <item x="251"/>
        <item x="493"/>
        <item x="610"/>
        <item x="323"/>
        <item x="521"/>
        <item x="8"/>
        <item x="108"/>
        <item x="257"/>
        <item x="548"/>
        <item x="243"/>
        <item x="468"/>
        <item x="554"/>
        <item x="138"/>
        <item x="641"/>
        <item x="672"/>
        <item x="355"/>
        <item x="360"/>
        <item x="428"/>
        <item x="177"/>
        <item x="336"/>
        <item x="28"/>
        <item x="99"/>
        <item x="510"/>
        <item x="664"/>
        <item x="96"/>
        <item x="223"/>
        <item x="67"/>
        <item x="581"/>
        <item x="395"/>
        <item x="117"/>
        <item x="643"/>
        <item x="582"/>
        <item x="411"/>
        <item x="43"/>
        <item x="607"/>
        <item x="328"/>
        <item x="220"/>
        <item x="228"/>
        <item x="176"/>
        <item x="591"/>
        <item x="640"/>
        <item x="271"/>
        <item x="438"/>
        <item x="613"/>
        <item x="393"/>
        <item x="388"/>
        <item x="157"/>
        <item x="227"/>
        <item x="131"/>
        <item t="default"/>
      </items>
    </pivotField>
    <pivotField showAll="0"/>
    <pivotField dataField="1" numFmtId="44" showAll="0"/>
    <pivotField axis="axisPage" multipleItemSelectionAllowed="1" showAll="0">
      <items count="4">
        <item h="1" x="2"/>
        <item h="1" x="1"/>
        <item x="0"/>
        <item t="default"/>
      </items>
    </pivotField>
    <pivotField showAll="0">
      <items count="7">
        <item x="0"/>
        <item x="3"/>
        <item x="1"/>
        <item x="4"/>
        <item x="2"/>
        <item x="5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Items count="1">
    <i/>
  </rowItems>
  <colItems count="1">
    <i/>
  </colItems>
  <pageFields count="1">
    <pageField fld="8" hier="-1"/>
  </pageFields>
  <dataFields count="1">
    <dataField name="Suma de Total Gastado" fld="7" baseField="0" baseItem="0" numFmtId="44"/>
  </dataFields>
  <pivotTableStyleInfo name="PivotStyleDark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000-000000000000}" autoFormatId="16" applyNumberFormats="0" applyBorderFormats="0" applyFontFormats="0" applyPatternFormats="0" applyAlignmentFormats="0" applyWidthHeightFormats="0">
  <queryTableRefresh nextId="13">
    <queryTableFields count="11">
      <queryTableField id="1" name="DNI" tableColumnId="1"/>
      <queryTableField id="2" name="Nombre" tableColumnId="2"/>
      <queryTableField id="3" name="Apellidos" tableColumnId="3"/>
      <queryTableField id="4" name="Teléfono" tableColumnId="4"/>
      <queryTableField id="5" name="Género" tableColumnId="5"/>
      <queryTableField id="6" name="Fecha (EU)" tableColumnId="6"/>
      <queryTableField id="7" name="Provincia" tableColumnId="7"/>
      <queryTableField id="8" name="Total Gastado" tableColumnId="8"/>
      <queryTableField id="9" name="Estado Pedido" tableColumnId="9"/>
      <queryTableField id="10" name="Tallaje" tableColumnId="10"/>
      <queryTableField id="11" name="Tipo Compra (Online o Tienda Física)" tableColumnId="1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énero" xr10:uid="{006A3850-F781-4F18-B460-17F53355CCB7}" sourceName="Género">
  <pivotTables>
    <pivotTable tabId="1" name="BeneficiosTiempo"/>
    <pivotTable tabId="1" name="BeneficiosProvincia"/>
    <pivotTable tabId="1" name="BeneficiosTipoPedido"/>
    <pivotTable tabId="1" name="PorcentajeEstados"/>
    <pivotTable tabId="1" name="KPIBeneficiosNetos"/>
    <pivotTable tabId="1" name="TablaDinámica1"/>
    <pivotTable tabId="1" name="TablaDinámica2"/>
    <pivotTable tabId="1" name="TablaDinámica3"/>
  </pivotTables>
  <data>
    <tabular pivotCacheId="2041538278">
      <items count="3">
        <i x="1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allaje" xr10:uid="{202AB176-C92A-4550-8A3E-0D2001DBBB09}" sourceName="Tallaje">
  <pivotTables>
    <pivotTable tabId="1" name="BeneficiosTiempo"/>
    <pivotTable tabId="1" name="BeneficiosProvincia"/>
    <pivotTable tabId="1" name="BeneficiosTipoPedido"/>
    <pivotTable tabId="1" name="KPIBeneficiosNetos"/>
    <pivotTable tabId="1" name="PorcentajeEstados"/>
    <pivotTable tabId="1" name="TablaDinámica1"/>
    <pivotTable tabId="1" name="TablaDinámica2"/>
    <pivotTable tabId="1" name="TablaDinámica3"/>
  </pivotTables>
  <data>
    <tabular pivotCacheId="2041538278">
      <items count="6">
        <i x="0" s="1"/>
        <i x="3" s="1"/>
        <i x="1" s="1"/>
        <i x="4" s="1"/>
        <i x="2" s="1"/>
        <i x="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énero" xr10:uid="{C80FFBB1-D3CF-4D1B-9B42-102A778829AB}" cache="SegmentaciónDeDatos_Género" caption="Género" style="SlicerStyleOther1" rowHeight="241300"/>
  <slicer name="Tallaje" xr10:uid="{556A842D-FA8A-4B59-A03F-ABD45B2B54C4}" cache="SegmentaciónDeDatos_Tallaje" caption="Tallaje" columnCount="2" style="SlicerStyleOther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énero 1" xr10:uid="{1D304ED6-E6E4-4AB4-B254-CB1B80A8FBAB}" cache="SegmentaciónDeDatos_Género" caption="Género" style="SlicerStyleOther1" rowHeight="306000"/>
  <slicer name="Tallaje 1" xr10:uid="{0F61A7CE-3E70-48C3-B7A4-FE8A037D4D3F}" cache="SegmentaciónDeDatos_Tallaje" caption="Tallaje" columnCount="2" style="SlicerStyleOther1" rowHeight="396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C3ABC3-447B-4F82-98DB-473BF502290E}" name="Datos" displayName="Datos" ref="A1:K2001" tableType="queryTable" totalsRowShown="0">
  <autoFilter ref="A1:K2001" xr:uid="{35C3ABC3-447B-4F82-98DB-473BF502290E}"/>
  <tableColumns count="11">
    <tableColumn id="1" xr3:uid="{614ABADD-6D64-421D-998A-8D73D2B04989}" uniqueName="1" name="DNI" queryTableFieldId="1" dataDxfId="8"/>
    <tableColumn id="2" xr3:uid="{A0BE5052-92CD-4250-92E2-A8D735659E10}" uniqueName="2" name="Nombre" queryTableFieldId="2" dataDxfId="7"/>
    <tableColumn id="3" xr3:uid="{37EBA6DC-2718-4169-A197-C706A4202C54}" uniqueName="3" name="Apellidos" queryTableFieldId="3" dataDxfId="6"/>
    <tableColumn id="4" xr3:uid="{E416C023-3CDE-483E-9D3F-F7FEC9062D5A}" uniqueName="4" name="Teléfono" queryTableFieldId="4"/>
    <tableColumn id="5" xr3:uid="{AD988B0D-F446-4E07-83FD-65D6253D2637}" uniqueName="5" name="Género" queryTableFieldId="5" dataDxfId="5"/>
    <tableColumn id="6" xr3:uid="{0F00FCD3-5772-4DD7-AE1F-9491C0AB4A82}" uniqueName="6" name="Fecha (EU)" queryTableFieldId="6" dataDxfId="4"/>
    <tableColumn id="7" xr3:uid="{019FE525-B747-4671-A7B4-8508F91ADFB6}" uniqueName="7" name="Provincia" queryTableFieldId="7" dataDxfId="3"/>
    <tableColumn id="8" xr3:uid="{F782263D-146E-4476-A8DE-F763F954828A}" uniqueName="8" name="Total Gastado" queryTableFieldId="8" dataCellStyle="Moneda"/>
    <tableColumn id="9" xr3:uid="{91B531BA-81AE-4781-BB0A-0E1A80A39BBC}" uniqueName="9" name="Estado Pedido" queryTableFieldId="9" dataDxfId="0"/>
    <tableColumn id="10" xr3:uid="{35540433-B7BB-49D2-BF44-1CFF014816D0}" uniqueName="10" name="Tallaje" queryTableFieldId="10" dataDxfId="2"/>
    <tableColumn id="11" xr3:uid="{C170C4CA-8B1B-4E7A-BDD9-38E786BEB00D}" uniqueName="11" name="Tipo Compra (Online o Tienda Física)" queryTableFieldId="11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_EU" xr10:uid="{5B742406-0B16-416E-8FD7-D0CCA4BE1148}" sourceName="Fecha (EU)">
  <pivotTables>
    <pivotTable tabId="1" name="BeneficiosTiempo"/>
    <pivotTable tabId="1" name="BeneficiosProvincia"/>
    <pivotTable tabId="1" name="BeneficiosTipoPedido"/>
    <pivotTable tabId="1" name="KPIBeneficiosNetos"/>
    <pivotTable tabId="1" name="PorcentajeEstados"/>
    <pivotTable tabId="1" name="TablaDinámica1"/>
    <pivotTable tabId="1" name="TablaDinámica2"/>
    <pivotTable tabId="1" name="TablaDinámica3"/>
  </pivotTables>
  <state minimalRefreshVersion="6" lastRefreshVersion="6" pivotCacheId="2041538278" filterType="unknown"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" xr10:uid="{6ECFA0DD-D72E-4FBD-8C4D-C874E50C0877}" cache="NativeTimeline_Fecha__EU" caption="Fecha (EU)" level="1" selectionLevel="1" scrollPosition="2023-01-01T00:00:00" style="TimeSlicerStyleDark1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(EU) 1" xr10:uid="{F8416BA2-E052-4B54-B7A2-620D1D7C5F95}" cache="NativeTimeline_Fecha__EU" caption="Fecha (EU)" level="0" selectionLevel="0" scrollPosition="2023-01-01T00:00:00" style="TimeSlicerStyleDark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microsoft.com/office/2011/relationships/timeline" Target="../timelines/timeline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2.xml"/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38A3F-E33E-4924-ABD4-448709DB8D86}">
  <sheetPr codeName="Hoja1"/>
  <dimension ref="A1:K2001"/>
  <sheetViews>
    <sheetView topLeftCell="A2" workbookViewId="0">
      <selection activeCell="L9" sqref="L9"/>
    </sheetView>
  </sheetViews>
  <sheetFormatPr baseColWidth="10" defaultColWidth="10.7109375" defaultRowHeight="15" x14ac:dyDescent="0.25"/>
  <cols>
    <col min="1" max="7" width="15.85546875" customWidth="1"/>
    <col min="8" max="8" width="15.85546875" style="2" customWidth="1"/>
    <col min="9" max="11" width="15.8554687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408</v>
      </c>
      <c r="G1" t="s">
        <v>5</v>
      </c>
      <c r="H1" s="2" t="s">
        <v>6</v>
      </c>
      <c r="I1" t="s">
        <v>7</v>
      </c>
      <c r="J1" t="s">
        <v>8</v>
      </c>
      <c r="K1" t="s">
        <v>409</v>
      </c>
    </row>
    <row r="2" spans="1:11" x14ac:dyDescent="0.25">
      <c r="A2" t="s">
        <v>410</v>
      </c>
      <c r="B2" t="s">
        <v>270</v>
      </c>
      <c r="C2" t="s">
        <v>411</v>
      </c>
      <c r="D2">
        <v>635181298</v>
      </c>
      <c r="E2" t="s">
        <v>9</v>
      </c>
      <c r="F2" s="1">
        <v>45397</v>
      </c>
      <c r="G2" t="s">
        <v>412</v>
      </c>
      <c r="H2" s="2">
        <v>32.04</v>
      </c>
      <c r="I2" t="s">
        <v>25</v>
      </c>
      <c r="J2" t="s">
        <v>36</v>
      </c>
      <c r="K2" t="s">
        <v>12</v>
      </c>
    </row>
    <row r="3" spans="1:11" x14ac:dyDescent="0.25">
      <c r="A3" t="s">
        <v>413</v>
      </c>
      <c r="B3" t="s">
        <v>23</v>
      </c>
      <c r="C3" t="s">
        <v>414</v>
      </c>
      <c r="D3">
        <v>704413195</v>
      </c>
      <c r="E3" t="s">
        <v>18</v>
      </c>
      <c r="F3" s="1">
        <v>45332</v>
      </c>
      <c r="G3" t="s">
        <v>415</v>
      </c>
      <c r="H3" s="2">
        <v>203.4</v>
      </c>
      <c r="I3" t="s">
        <v>25</v>
      </c>
      <c r="J3" t="s">
        <v>36</v>
      </c>
      <c r="K3" t="s">
        <v>12</v>
      </c>
    </row>
    <row r="4" spans="1:11" x14ac:dyDescent="0.25">
      <c r="A4" t="s">
        <v>416</v>
      </c>
      <c r="B4" t="s">
        <v>145</v>
      </c>
      <c r="C4" t="s">
        <v>417</v>
      </c>
      <c r="D4">
        <v>714510122</v>
      </c>
      <c r="E4" t="s">
        <v>9</v>
      </c>
      <c r="F4" s="1">
        <v>45592</v>
      </c>
      <c r="G4" t="s">
        <v>418</v>
      </c>
      <c r="H4" s="2">
        <v>1625.32</v>
      </c>
      <c r="I4" t="s">
        <v>25</v>
      </c>
      <c r="J4" t="s">
        <v>33</v>
      </c>
      <c r="K4" t="s">
        <v>12</v>
      </c>
    </row>
    <row r="5" spans="1:11" x14ac:dyDescent="0.25">
      <c r="A5" t="s">
        <v>419</v>
      </c>
      <c r="B5" t="s">
        <v>353</v>
      </c>
      <c r="C5" t="s">
        <v>420</v>
      </c>
      <c r="D5">
        <v>720443658</v>
      </c>
      <c r="E5" t="s">
        <v>9</v>
      </c>
      <c r="F5" s="1">
        <v>45455</v>
      </c>
      <c r="G5" t="s">
        <v>14</v>
      </c>
      <c r="H5" s="2">
        <v>1213.19</v>
      </c>
      <c r="I5" t="s">
        <v>25</v>
      </c>
      <c r="J5" t="s">
        <v>22</v>
      </c>
      <c r="K5" t="s">
        <v>12</v>
      </c>
    </row>
    <row r="6" spans="1:11" x14ac:dyDescent="0.25">
      <c r="A6" t="s">
        <v>421</v>
      </c>
      <c r="B6" t="s">
        <v>336</v>
      </c>
      <c r="C6" t="s">
        <v>422</v>
      </c>
      <c r="D6">
        <v>722114878</v>
      </c>
      <c r="E6" t="s">
        <v>9</v>
      </c>
      <c r="F6" s="1">
        <v>45749</v>
      </c>
      <c r="G6" t="s">
        <v>423</v>
      </c>
      <c r="H6" s="2">
        <v>784.47</v>
      </c>
      <c r="I6" t="s">
        <v>25</v>
      </c>
      <c r="J6" t="s">
        <v>22</v>
      </c>
      <c r="K6" t="s">
        <v>12</v>
      </c>
    </row>
    <row r="7" spans="1:11" x14ac:dyDescent="0.25">
      <c r="A7" t="s">
        <v>424</v>
      </c>
      <c r="B7" t="s">
        <v>137</v>
      </c>
      <c r="C7" t="s">
        <v>425</v>
      </c>
      <c r="D7">
        <v>733868257</v>
      </c>
      <c r="E7" t="s">
        <v>18</v>
      </c>
      <c r="F7" s="1">
        <v>45194</v>
      </c>
      <c r="G7" t="s">
        <v>415</v>
      </c>
      <c r="H7" s="2">
        <v>1538.52</v>
      </c>
      <c r="I7" t="s">
        <v>25</v>
      </c>
      <c r="J7" t="s">
        <v>11</v>
      </c>
      <c r="K7" t="s">
        <v>16</v>
      </c>
    </row>
    <row r="8" spans="1:11" x14ac:dyDescent="0.25">
      <c r="A8" t="s">
        <v>426</v>
      </c>
      <c r="B8" t="s">
        <v>320</v>
      </c>
      <c r="C8" t="s">
        <v>427</v>
      </c>
      <c r="D8">
        <v>667286044</v>
      </c>
      <c r="E8" t="s">
        <v>18</v>
      </c>
      <c r="F8" s="1">
        <v>45546</v>
      </c>
      <c r="G8" t="s">
        <v>21</v>
      </c>
      <c r="H8" s="2">
        <v>513.72</v>
      </c>
      <c r="I8" t="s">
        <v>25</v>
      </c>
      <c r="J8" t="s">
        <v>11</v>
      </c>
      <c r="K8" t="s">
        <v>12</v>
      </c>
    </row>
    <row r="9" spans="1:11" x14ac:dyDescent="0.25">
      <c r="A9" t="s">
        <v>428</v>
      </c>
      <c r="B9" t="s">
        <v>64</v>
      </c>
      <c r="C9" t="s">
        <v>429</v>
      </c>
      <c r="D9">
        <v>681249637</v>
      </c>
      <c r="E9" t="s">
        <v>13</v>
      </c>
      <c r="F9" s="1">
        <v>45423</v>
      </c>
      <c r="G9" t="s">
        <v>418</v>
      </c>
      <c r="H9" s="2">
        <v>209.85</v>
      </c>
      <c r="I9" t="s">
        <v>25</v>
      </c>
      <c r="J9" t="s">
        <v>33</v>
      </c>
      <c r="K9" t="s">
        <v>16</v>
      </c>
    </row>
    <row r="10" spans="1:11" x14ac:dyDescent="0.25">
      <c r="A10" t="s">
        <v>430</v>
      </c>
      <c r="B10" t="s">
        <v>277</v>
      </c>
      <c r="C10" t="s">
        <v>431</v>
      </c>
      <c r="D10">
        <v>819579385</v>
      </c>
      <c r="E10" t="s">
        <v>9</v>
      </c>
      <c r="F10" s="1">
        <v>45332</v>
      </c>
      <c r="G10" t="s">
        <v>21</v>
      </c>
      <c r="H10" s="2">
        <v>536.20000000000005</v>
      </c>
      <c r="I10" t="s">
        <v>25</v>
      </c>
      <c r="J10" t="s">
        <v>22</v>
      </c>
      <c r="K10" t="s">
        <v>12</v>
      </c>
    </row>
    <row r="11" spans="1:11" x14ac:dyDescent="0.25">
      <c r="A11" t="s">
        <v>432</v>
      </c>
      <c r="B11" t="s">
        <v>254</v>
      </c>
      <c r="C11" t="s">
        <v>433</v>
      </c>
      <c r="D11">
        <v>735998025</v>
      </c>
      <c r="E11" t="s">
        <v>9</v>
      </c>
      <c r="F11" s="1">
        <v>45863</v>
      </c>
      <c r="G11" t="s">
        <v>10</v>
      </c>
      <c r="H11" s="2">
        <v>700.62</v>
      </c>
      <c r="I11" t="s">
        <v>25</v>
      </c>
      <c r="J11" t="s">
        <v>22</v>
      </c>
      <c r="K11" t="s">
        <v>12</v>
      </c>
    </row>
    <row r="12" spans="1:11" x14ac:dyDescent="0.25">
      <c r="A12" t="s">
        <v>434</v>
      </c>
      <c r="B12" t="s">
        <v>379</v>
      </c>
      <c r="C12" t="s">
        <v>435</v>
      </c>
      <c r="D12">
        <v>740994031</v>
      </c>
      <c r="E12" t="s">
        <v>18</v>
      </c>
      <c r="F12" s="1">
        <v>45321</v>
      </c>
      <c r="G12" t="s">
        <v>423</v>
      </c>
      <c r="H12" s="2">
        <v>836.24</v>
      </c>
      <c r="I12" t="s">
        <v>25</v>
      </c>
      <c r="J12" t="s">
        <v>36</v>
      </c>
      <c r="K12" t="s">
        <v>12</v>
      </c>
    </row>
    <row r="13" spans="1:11" x14ac:dyDescent="0.25">
      <c r="A13" t="s">
        <v>436</v>
      </c>
      <c r="B13" t="s">
        <v>115</v>
      </c>
      <c r="C13" t="s">
        <v>437</v>
      </c>
      <c r="D13">
        <v>806023701</v>
      </c>
      <c r="E13" t="s">
        <v>9</v>
      </c>
      <c r="F13" s="1">
        <v>45200</v>
      </c>
      <c r="G13" t="s">
        <v>10</v>
      </c>
      <c r="H13" s="2">
        <v>492.61</v>
      </c>
      <c r="I13" t="s">
        <v>25</v>
      </c>
      <c r="J13" t="s">
        <v>22</v>
      </c>
      <c r="K13" t="s">
        <v>16</v>
      </c>
    </row>
    <row r="14" spans="1:11" x14ac:dyDescent="0.25">
      <c r="A14" t="s">
        <v>438</v>
      </c>
      <c r="B14" t="s">
        <v>153</v>
      </c>
      <c r="C14" t="s">
        <v>439</v>
      </c>
      <c r="D14">
        <v>734311637</v>
      </c>
      <c r="E14" t="s">
        <v>9</v>
      </c>
      <c r="F14" s="1">
        <v>45210</v>
      </c>
      <c r="G14" t="s">
        <v>440</v>
      </c>
      <c r="H14" s="2">
        <v>22.01</v>
      </c>
      <c r="I14" t="s">
        <v>25</v>
      </c>
      <c r="J14" t="s">
        <v>22</v>
      </c>
      <c r="K14" t="s">
        <v>16</v>
      </c>
    </row>
    <row r="15" spans="1:11" x14ac:dyDescent="0.25">
      <c r="A15" t="s">
        <v>441</v>
      </c>
      <c r="B15" t="s">
        <v>55</v>
      </c>
      <c r="C15" t="s">
        <v>442</v>
      </c>
      <c r="D15">
        <v>667768968</v>
      </c>
      <c r="E15" t="s">
        <v>9</v>
      </c>
      <c r="F15" s="1">
        <v>45227</v>
      </c>
      <c r="G15" t="s">
        <v>443</v>
      </c>
      <c r="H15" s="2">
        <v>296.07</v>
      </c>
      <c r="I15" t="s">
        <v>444</v>
      </c>
      <c r="J15" t="s">
        <v>33</v>
      </c>
      <c r="K15" t="s">
        <v>16</v>
      </c>
    </row>
    <row r="16" spans="1:11" x14ac:dyDescent="0.25">
      <c r="A16" t="s">
        <v>445</v>
      </c>
      <c r="B16" t="s">
        <v>155</v>
      </c>
      <c r="C16" t="s">
        <v>446</v>
      </c>
      <c r="D16">
        <v>720435143</v>
      </c>
      <c r="E16" t="s">
        <v>9</v>
      </c>
      <c r="F16" s="1">
        <v>45671</v>
      </c>
      <c r="G16" t="s">
        <v>21</v>
      </c>
      <c r="H16" s="2">
        <v>1374.6</v>
      </c>
      <c r="I16" t="s">
        <v>25</v>
      </c>
      <c r="J16" t="s">
        <v>22</v>
      </c>
      <c r="K16" t="s">
        <v>16</v>
      </c>
    </row>
    <row r="17" spans="1:11" x14ac:dyDescent="0.25">
      <c r="A17" t="s">
        <v>447</v>
      </c>
      <c r="B17" t="s">
        <v>207</v>
      </c>
      <c r="C17" t="s">
        <v>448</v>
      </c>
      <c r="D17">
        <v>870185749</v>
      </c>
      <c r="E17" t="s">
        <v>9</v>
      </c>
      <c r="F17" s="1">
        <v>45199</v>
      </c>
      <c r="G17" t="s">
        <v>418</v>
      </c>
      <c r="H17" s="2">
        <v>1590.54</v>
      </c>
      <c r="I17" t="s">
        <v>25</v>
      </c>
      <c r="J17" t="s">
        <v>36</v>
      </c>
      <c r="K17" t="s">
        <v>12</v>
      </c>
    </row>
    <row r="18" spans="1:11" x14ac:dyDescent="0.25">
      <c r="A18" t="s">
        <v>449</v>
      </c>
      <c r="B18" t="s">
        <v>88</v>
      </c>
      <c r="C18" t="s">
        <v>450</v>
      </c>
      <c r="D18">
        <v>739522597</v>
      </c>
      <c r="E18" t="s">
        <v>9</v>
      </c>
      <c r="F18" s="1">
        <v>45262</v>
      </c>
      <c r="G18" t="s">
        <v>451</v>
      </c>
      <c r="H18" s="2">
        <v>101.55</v>
      </c>
      <c r="I18" t="s">
        <v>25</v>
      </c>
      <c r="J18" t="s">
        <v>11</v>
      </c>
      <c r="K18" t="s">
        <v>12</v>
      </c>
    </row>
    <row r="19" spans="1:11" x14ac:dyDescent="0.25">
      <c r="A19" t="s">
        <v>452</v>
      </c>
      <c r="B19" t="s">
        <v>156</v>
      </c>
      <c r="C19" t="s">
        <v>453</v>
      </c>
      <c r="D19">
        <v>916052353</v>
      </c>
      <c r="E19" t="s">
        <v>13</v>
      </c>
      <c r="F19" s="1">
        <v>45298</v>
      </c>
      <c r="G19" t="s">
        <v>47</v>
      </c>
      <c r="H19" s="2">
        <v>1777.79</v>
      </c>
      <c r="I19" t="s">
        <v>25</v>
      </c>
      <c r="J19" t="s">
        <v>33</v>
      </c>
      <c r="K19" t="s">
        <v>12</v>
      </c>
    </row>
    <row r="20" spans="1:11" x14ac:dyDescent="0.25">
      <c r="A20" t="s">
        <v>454</v>
      </c>
      <c r="B20" t="s">
        <v>262</v>
      </c>
      <c r="C20" t="s">
        <v>455</v>
      </c>
      <c r="D20">
        <v>879596240</v>
      </c>
      <c r="E20" t="s">
        <v>13</v>
      </c>
      <c r="F20" s="1">
        <v>45554</v>
      </c>
      <c r="G20" t="s">
        <v>14</v>
      </c>
      <c r="H20" s="2">
        <v>1738.35</v>
      </c>
      <c r="I20" t="s">
        <v>25</v>
      </c>
      <c r="J20" t="s">
        <v>26</v>
      </c>
      <c r="K20" t="s">
        <v>16</v>
      </c>
    </row>
    <row r="21" spans="1:11" x14ac:dyDescent="0.25">
      <c r="A21" t="s">
        <v>456</v>
      </c>
      <c r="B21" t="s">
        <v>206</v>
      </c>
      <c r="C21" t="s">
        <v>457</v>
      </c>
      <c r="D21">
        <v>719563621</v>
      </c>
      <c r="E21" t="s">
        <v>18</v>
      </c>
      <c r="F21" s="1">
        <v>45740</v>
      </c>
      <c r="G21" t="s">
        <v>35</v>
      </c>
      <c r="H21" s="2">
        <v>1937.81</v>
      </c>
      <c r="I21" t="s">
        <v>25</v>
      </c>
      <c r="J21" t="s">
        <v>15</v>
      </c>
      <c r="K21" t="s">
        <v>12</v>
      </c>
    </row>
    <row r="22" spans="1:11" x14ac:dyDescent="0.25">
      <c r="A22" t="s">
        <v>458</v>
      </c>
      <c r="B22" t="s">
        <v>377</v>
      </c>
      <c r="C22" t="s">
        <v>459</v>
      </c>
      <c r="D22">
        <v>747259283</v>
      </c>
      <c r="E22" t="s">
        <v>9</v>
      </c>
      <c r="F22" s="1">
        <v>45832</v>
      </c>
      <c r="G22" t="s">
        <v>460</v>
      </c>
      <c r="H22" s="2">
        <v>451.59</v>
      </c>
      <c r="I22" t="s">
        <v>25</v>
      </c>
      <c r="J22" t="s">
        <v>15</v>
      </c>
      <c r="K22" t="s">
        <v>16</v>
      </c>
    </row>
    <row r="23" spans="1:11" x14ac:dyDescent="0.25">
      <c r="A23" t="s">
        <v>461</v>
      </c>
      <c r="B23" t="s">
        <v>357</v>
      </c>
      <c r="C23" t="s">
        <v>462</v>
      </c>
      <c r="D23">
        <v>611493591</v>
      </c>
      <c r="E23" t="s">
        <v>18</v>
      </c>
      <c r="F23" s="1">
        <v>45377</v>
      </c>
      <c r="G23" t="s">
        <v>451</v>
      </c>
      <c r="H23" s="2">
        <v>571.4</v>
      </c>
      <c r="I23" t="s">
        <v>25</v>
      </c>
      <c r="J23" t="s">
        <v>33</v>
      </c>
      <c r="K23" t="s">
        <v>16</v>
      </c>
    </row>
    <row r="24" spans="1:11" x14ac:dyDescent="0.25">
      <c r="A24" t="s">
        <v>463</v>
      </c>
      <c r="B24" t="s">
        <v>195</v>
      </c>
      <c r="C24" t="s">
        <v>464</v>
      </c>
      <c r="D24">
        <v>722994048</v>
      </c>
      <c r="E24" t="s">
        <v>9</v>
      </c>
      <c r="F24" s="1">
        <v>45644</v>
      </c>
      <c r="G24" t="s">
        <v>440</v>
      </c>
      <c r="H24" s="2">
        <v>339.74</v>
      </c>
      <c r="I24" t="s">
        <v>25</v>
      </c>
      <c r="J24" t="s">
        <v>11</v>
      </c>
      <c r="K24" t="s">
        <v>16</v>
      </c>
    </row>
    <row r="25" spans="1:11" x14ac:dyDescent="0.25">
      <c r="A25" t="s">
        <v>465</v>
      </c>
      <c r="B25" t="s">
        <v>355</v>
      </c>
      <c r="C25" t="s">
        <v>466</v>
      </c>
      <c r="D25">
        <v>740369847</v>
      </c>
      <c r="E25" t="s">
        <v>18</v>
      </c>
      <c r="F25" s="1">
        <v>45627</v>
      </c>
      <c r="G25" t="s">
        <v>451</v>
      </c>
      <c r="H25" s="2">
        <v>1695.8</v>
      </c>
      <c r="I25" t="s">
        <v>25</v>
      </c>
      <c r="J25" t="s">
        <v>11</v>
      </c>
      <c r="K25" t="s">
        <v>12</v>
      </c>
    </row>
    <row r="26" spans="1:11" x14ac:dyDescent="0.25">
      <c r="A26" t="s">
        <v>467</v>
      </c>
      <c r="B26" t="s">
        <v>340</v>
      </c>
      <c r="C26" t="s">
        <v>468</v>
      </c>
      <c r="D26">
        <v>735061596</v>
      </c>
      <c r="E26" t="s">
        <v>18</v>
      </c>
      <c r="F26" s="1">
        <v>45811</v>
      </c>
      <c r="G26" t="s">
        <v>423</v>
      </c>
      <c r="H26" s="2">
        <v>1990.17</v>
      </c>
      <c r="I26" t="s">
        <v>25</v>
      </c>
      <c r="J26" t="s">
        <v>11</v>
      </c>
      <c r="K26" t="s">
        <v>12</v>
      </c>
    </row>
    <row r="27" spans="1:11" x14ac:dyDescent="0.25">
      <c r="A27" t="s">
        <v>469</v>
      </c>
      <c r="B27" t="s">
        <v>304</v>
      </c>
      <c r="C27" t="s">
        <v>470</v>
      </c>
      <c r="D27">
        <v>742924464</v>
      </c>
      <c r="E27" t="s">
        <v>18</v>
      </c>
      <c r="F27" s="1">
        <v>45827</v>
      </c>
      <c r="G27" t="s">
        <v>443</v>
      </c>
      <c r="H27" s="2">
        <v>956.9</v>
      </c>
      <c r="I27" t="s">
        <v>25</v>
      </c>
      <c r="J27" t="s">
        <v>11</v>
      </c>
      <c r="K27" t="s">
        <v>12</v>
      </c>
    </row>
    <row r="28" spans="1:11" x14ac:dyDescent="0.25">
      <c r="A28" t="s">
        <v>471</v>
      </c>
      <c r="B28" t="s">
        <v>311</v>
      </c>
      <c r="C28" t="s">
        <v>472</v>
      </c>
      <c r="D28">
        <v>892859188</v>
      </c>
      <c r="E28" t="s">
        <v>9</v>
      </c>
      <c r="F28" s="1">
        <v>45833</v>
      </c>
      <c r="G28" t="s">
        <v>32</v>
      </c>
      <c r="H28" s="2">
        <v>1305.02</v>
      </c>
      <c r="I28" t="s">
        <v>25</v>
      </c>
      <c r="J28" t="s">
        <v>11</v>
      </c>
      <c r="K28" t="s">
        <v>16</v>
      </c>
    </row>
    <row r="29" spans="1:11" x14ac:dyDescent="0.25">
      <c r="A29" t="s">
        <v>473</v>
      </c>
      <c r="B29" t="s">
        <v>242</v>
      </c>
      <c r="C29" t="s">
        <v>474</v>
      </c>
      <c r="D29">
        <v>723510058</v>
      </c>
      <c r="E29" t="s">
        <v>18</v>
      </c>
      <c r="F29" s="1">
        <v>45781</v>
      </c>
      <c r="G29" t="s">
        <v>475</v>
      </c>
      <c r="H29" s="2">
        <v>978.62</v>
      </c>
      <c r="I29" t="s">
        <v>444</v>
      </c>
      <c r="J29" t="s">
        <v>15</v>
      </c>
      <c r="K29" t="s">
        <v>16</v>
      </c>
    </row>
    <row r="30" spans="1:11" x14ac:dyDescent="0.25">
      <c r="A30" t="s">
        <v>476</v>
      </c>
      <c r="B30" t="s">
        <v>170</v>
      </c>
      <c r="C30" t="s">
        <v>477</v>
      </c>
      <c r="D30">
        <v>982589898</v>
      </c>
      <c r="E30" t="s">
        <v>18</v>
      </c>
      <c r="F30" s="1">
        <v>45248</v>
      </c>
      <c r="G30" t="s">
        <v>478</v>
      </c>
      <c r="H30" s="2">
        <v>145.75</v>
      </c>
      <c r="I30" t="s">
        <v>25</v>
      </c>
      <c r="J30" t="s">
        <v>33</v>
      </c>
      <c r="K30" t="s">
        <v>12</v>
      </c>
    </row>
    <row r="31" spans="1:11" x14ac:dyDescent="0.25">
      <c r="A31" t="s">
        <v>479</v>
      </c>
      <c r="B31" t="s">
        <v>480</v>
      </c>
      <c r="C31" t="s">
        <v>481</v>
      </c>
      <c r="D31">
        <v>727899933</v>
      </c>
      <c r="E31" t="s">
        <v>18</v>
      </c>
      <c r="F31" s="1">
        <v>45879</v>
      </c>
      <c r="G31" t="s">
        <v>443</v>
      </c>
      <c r="H31" s="2">
        <v>581.76</v>
      </c>
      <c r="I31" t="s">
        <v>25</v>
      </c>
      <c r="J31" t="s">
        <v>36</v>
      </c>
      <c r="K31" t="s">
        <v>16</v>
      </c>
    </row>
    <row r="32" spans="1:11" x14ac:dyDescent="0.25">
      <c r="A32" t="s">
        <v>482</v>
      </c>
      <c r="B32" t="s">
        <v>66</v>
      </c>
      <c r="C32" t="s">
        <v>483</v>
      </c>
      <c r="D32">
        <v>951987392</v>
      </c>
      <c r="E32" t="s">
        <v>9</v>
      </c>
      <c r="F32" s="1">
        <v>45252</v>
      </c>
      <c r="G32" t="s">
        <v>440</v>
      </c>
      <c r="H32" s="2">
        <v>1908.67</v>
      </c>
      <c r="I32" t="s">
        <v>25</v>
      </c>
      <c r="J32" t="s">
        <v>11</v>
      </c>
      <c r="K32" t="s">
        <v>12</v>
      </c>
    </row>
    <row r="33" spans="1:11" x14ac:dyDescent="0.25">
      <c r="A33" t="s">
        <v>484</v>
      </c>
      <c r="B33" t="s">
        <v>111</v>
      </c>
      <c r="C33" t="s">
        <v>485</v>
      </c>
      <c r="D33">
        <v>826663368</v>
      </c>
      <c r="E33" t="s">
        <v>18</v>
      </c>
      <c r="F33" s="1">
        <v>45541</v>
      </c>
      <c r="G33" t="s">
        <v>415</v>
      </c>
      <c r="H33" s="2">
        <v>918.37</v>
      </c>
      <c r="I33" t="s">
        <v>25</v>
      </c>
      <c r="J33" t="s">
        <v>11</v>
      </c>
      <c r="K33" t="s">
        <v>16</v>
      </c>
    </row>
    <row r="34" spans="1:11" x14ac:dyDescent="0.25">
      <c r="A34" t="s">
        <v>486</v>
      </c>
      <c r="B34" t="s">
        <v>386</v>
      </c>
      <c r="C34" t="s">
        <v>487</v>
      </c>
      <c r="D34">
        <v>744875696</v>
      </c>
      <c r="E34" t="s">
        <v>13</v>
      </c>
      <c r="F34" s="1">
        <v>45428</v>
      </c>
      <c r="G34" t="s">
        <v>47</v>
      </c>
      <c r="H34" s="2">
        <v>1935.59</v>
      </c>
      <c r="I34" t="s">
        <v>25</v>
      </c>
      <c r="J34" t="s">
        <v>11</v>
      </c>
      <c r="K34" t="s">
        <v>16</v>
      </c>
    </row>
    <row r="35" spans="1:11" x14ac:dyDescent="0.25">
      <c r="A35" t="s">
        <v>488</v>
      </c>
      <c r="B35" t="s">
        <v>399</v>
      </c>
      <c r="C35" t="s">
        <v>489</v>
      </c>
      <c r="D35">
        <v>813853467</v>
      </c>
      <c r="E35" t="s">
        <v>9</v>
      </c>
      <c r="F35" s="1">
        <v>45477</v>
      </c>
      <c r="G35" t="s">
        <v>32</v>
      </c>
      <c r="H35" s="2">
        <v>1151.19</v>
      </c>
      <c r="I35" t="s">
        <v>25</v>
      </c>
      <c r="J35" t="s">
        <v>11</v>
      </c>
      <c r="K35" t="s">
        <v>16</v>
      </c>
    </row>
    <row r="36" spans="1:11" x14ac:dyDescent="0.25">
      <c r="A36" t="s">
        <v>490</v>
      </c>
      <c r="B36" t="s">
        <v>394</v>
      </c>
      <c r="C36" t="s">
        <v>491</v>
      </c>
      <c r="D36">
        <v>806812397</v>
      </c>
      <c r="E36" t="s">
        <v>18</v>
      </c>
      <c r="F36" s="1">
        <v>45380</v>
      </c>
      <c r="G36" t="s">
        <v>415</v>
      </c>
      <c r="H36" s="2">
        <v>41.44</v>
      </c>
      <c r="I36" t="s">
        <v>25</v>
      </c>
      <c r="J36" t="s">
        <v>11</v>
      </c>
      <c r="K36" t="s">
        <v>12</v>
      </c>
    </row>
    <row r="37" spans="1:11" x14ac:dyDescent="0.25">
      <c r="A37" t="s">
        <v>492</v>
      </c>
      <c r="B37" t="s">
        <v>312</v>
      </c>
      <c r="C37" t="s">
        <v>493</v>
      </c>
      <c r="D37">
        <v>888046669</v>
      </c>
      <c r="E37" t="s">
        <v>18</v>
      </c>
      <c r="F37" s="1">
        <v>45734</v>
      </c>
      <c r="G37" t="s">
        <v>443</v>
      </c>
      <c r="H37" s="2">
        <v>759.02</v>
      </c>
      <c r="I37" t="s">
        <v>444</v>
      </c>
      <c r="J37" t="s">
        <v>26</v>
      </c>
      <c r="K37" t="s">
        <v>16</v>
      </c>
    </row>
    <row r="38" spans="1:11" x14ac:dyDescent="0.25">
      <c r="A38" t="s">
        <v>494</v>
      </c>
      <c r="B38" t="s">
        <v>263</v>
      </c>
      <c r="C38" t="s">
        <v>495</v>
      </c>
      <c r="D38">
        <v>714200847</v>
      </c>
      <c r="E38" t="s">
        <v>9</v>
      </c>
      <c r="F38" s="1">
        <v>45332</v>
      </c>
      <c r="G38" t="s">
        <v>35</v>
      </c>
      <c r="H38" s="2">
        <v>26.13</v>
      </c>
      <c r="I38" t="s">
        <v>25</v>
      </c>
      <c r="J38" t="s">
        <v>33</v>
      </c>
      <c r="K38" t="s">
        <v>12</v>
      </c>
    </row>
    <row r="39" spans="1:11" x14ac:dyDescent="0.25">
      <c r="A39" t="s">
        <v>496</v>
      </c>
      <c r="B39" t="s">
        <v>278</v>
      </c>
      <c r="C39" t="s">
        <v>497</v>
      </c>
      <c r="D39">
        <v>702426757</v>
      </c>
      <c r="E39" t="s">
        <v>13</v>
      </c>
      <c r="F39" s="1">
        <v>45607</v>
      </c>
      <c r="G39" t="s">
        <v>47</v>
      </c>
      <c r="H39" s="2">
        <v>1319.21</v>
      </c>
      <c r="I39" t="s">
        <v>25</v>
      </c>
      <c r="J39" t="s">
        <v>33</v>
      </c>
      <c r="K39" t="s">
        <v>12</v>
      </c>
    </row>
    <row r="40" spans="1:11" x14ac:dyDescent="0.25">
      <c r="A40" t="s">
        <v>498</v>
      </c>
      <c r="B40" t="s">
        <v>221</v>
      </c>
      <c r="C40" t="s">
        <v>499</v>
      </c>
      <c r="D40">
        <v>706332747</v>
      </c>
      <c r="E40" t="s">
        <v>9</v>
      </c>
      <c r="F40" s="1">
        <v>45546</v>
      </c>
      <c r="G40" t="s">
        <v>415</v>
      </c>
      <c r="H40" s="2">
        <v>110.96</v>
      </c>
      <c r="I40" t="s">
        <v>25</v>
      </c>
      <c r="J40" t="s">
        <v>22</v>
      </c>
      <c r="K40" t="s">
        <v>12</v>
      </c>
    </row>
    <row r="41" spans="1:11" x14ac:dyDescent="0.25">
      <c r="A41" t="s">
        <v>500</v>
      </c>
      <c r="B41" t="s">
        <v>158</v>
      </c>
      <c r="C41" t="s">
        <v>501</v>
      </c>
      <c r="D41">
        <v>700258650</v>
      </c>
      <c r="E41" t="s">
        <v>9</v>
      </c>
      <c r="F41" s="1">
        <v>45637</v>
      </c>
      <c r="G41" t="s">
        <v>412</v>
      </c>
      <c r="H41" s="2">
        <v>1149.54</v>
      </c>
      <c r="I41" t="s">
        <v>25</v>
      </c>
      <c r="J41" t="s">
        <v>11</v>
      </c>
      <c r="K41" t="s">
        <v>12</v>
      </c>
    </row>
    <row r="42" spans="1:11" x14ac:dyDescent="0.25">
      <c r="A42" t="s">
        <v>502</v>
      </c>
      <c r="B42" t="s">
        <v>352</v>
      </c>
      <c r="C42" t="s">
        <v>503</v>
      </c>
      <c r="D42">
        <v>731725140</v>
      </c>
      <c r="E42" t="s">
        <v>9</v>
      </c>
      <c r="F42" s="1">
        <v>45480</v>
      </c>
      <c r="G42" t="s">
        <v>415</v>
      </c>
      <c r="H42" s="2">
        <v>140.46</v>
      </c>
      <c r="I42" t="s">
        <v>25</v>
      </c>
      <c r="J42" t="s">
        <v>22</v>
      </c>
      <c r="K42" t="s">
        <v>12</v>
      </c>
    </row>
    <row r="43" spans="1:11" x14ac:dyDescent="0.25">
      <c r="A43" t="s">
        <v>504</v>
      </c>
      <c r="B43" t="s">
        <v>178</v>
      </c>
      <c r="C43" t="s">
        <v>505</v>
      </c>
      <c r="D43">
        <v>733805530</v>
      </c>
      <c r="E43" t="s">
        <v>18</v>
      </c>
      <c r="F43" s="1">
        <v>45426</v>
      </c>
      <c r="G43" t="s">
        <v>506</v>
      </c>
      <c r="H43" s="2">
        <v>481.16</v>
      </c>
      <c r="I43" t="s">
        <v>507</v>
      </c>
      <c r="J43" t="s">
        <v>36</v>
      </c>
      <c r="K43" t="s">
        <v>16</v>
      </c>
    </row>
    <row r="44" spans="1:11" x14ac:dyDescent="0.25">
      <c r="A44" t="s">
        <v>508</v>
      </c>
      <c r="B44" t="s">
        <v>203</v>
      </c>
      <c r="C44" t="s">
        <v>509</v>
      </c>
      <c r="D44">
        <v>628214825</v>
      </c>
      <c r="E44" t="s">
        <v>9</v>
      </c>
      <c r="F44" s="1">
        <v>45537</v>
      </c>
      <c r="G44" t="s">
        <v>10</v>
      </c>
      <c r="H44" s="2">
        <v>1850.84</v>
      </c>
      <c r="I44" t="s">
        <v>25</v>
      </c>
      <c r="J44" t="s">
        <v>22</v>
      </c>
      <c r="K44" t="s">
        <v>12</v>
      </c>
    </row>
    <row r="45" spans="1:11" x14ac:dyDescent="0.25">
      <c r="A45" t="s">
        <v>510</v>
      </c>
      <c r="B45" t="s">
        <v>72</v>
      </c>
      <c r="C45" t="s">
        <v>511</v>
      </c>
      <c r="D45">
        <v>965928716</v>
      </c>
      <c r="E45" t="s">
        <v>9</v>
      </c>
      <c r="F45" s="1">
        <v>45351</v>
      </c>
      <c r="G45" t="s">
        <v>21</v>
      </c>
      <c r="H45" s="2">
        <v>1027.32</v>
      </c>
      <c r="I45" t="s">
        <v>25</v>
      </c>
      <c r="J45" t="s">
        <v>33</v>
      </c>
      <c r="K45" t="s">
        <v>12</v>
      </c>
    </row>
    <row r="46" spans="1:11" x14ac:dyDescent="0.25">
      <c r="A46" t="s">
        <v>512</v>
      </c>
      <c r="B46" t="s">
        <v>188</v>
      </c>
      <c r="C46" t="s">
        <v>513</v>
      </c>
      <c r="D46">
        <v>739667567</v>
      </c>
      <c r="E46" t="s">
        <v>9</v>
      </c>
      <c r="F46" s="1">
        <v>45767</v>
      </c>
      <c r="G46" t="s">
        <v>19</v>
      </c>
      <c r="H46" s="2">
        <v>1309.73</v>
      </c>
      <c r="I46" t="s">
        <v>25</v>
      </c>
      <c r="J46" t="s">
        <v>11</v>
      </c>
      <c r="K46" t="s">
        <v>12</v>
      </c>
    </row>
    <row r="47" spans="1:11" x14ac:dyDescent="0.25">
      <c r="A47" t="s">
        <v>514</v>
      </c>
      <c r="B47" t="s">
        <v>292</v>
      </c>
      <c r="C47" t="s">
        <v>515</v>
      </c>
      <c r="D47">
        <v>726799934</v>
      </c>
      <c r="E47" t="s">
        <v>18</v>
      </c>
      <c r="F47" s="1">
        <v>45766</v>
      </c>
      <c r="G47" t="s">
        <v>440</v>
      </c>
      <c r="H47" s="2">
        <v>230.7</v>
      </c>
      <c r="I47" t="s">
        <v>25</v>
      </c>
      <c r="J47" t="s">
        <v>11</v>
      </c>
      <c r="K47" t="s">
        <v>12</v>
      </c>
    </row>
    <row r="48" spans="1:11" x14ac:dyDescent="0.25">
      <c r="A48" t="s">
        <v>516</v>
      </c>
      <c r="B48" t="s">
        <v>395</v>
      </c>
      <c r="C48" t="s">
        <v>517</v>
      </c>
      <c r="D48">
        <v>725414927</v>
      </c>
      <c r="E48" t="s">
        <v>9</v>
      </c>
      <c r="F48" s="1">
        <v>45893</v>
      </c>
      <c r="G48" t="s">
        <v>518</v>
      </c>
      <c r="H48" s="2">
        <v>1638.16</v>
      </c>
      <c r="I48" t="s">
        <v>25</v>
      </c>
      <c r="J48" t="s">
        <v>33</v>
      </c>
      <c r="K48" t="s">
        <v>16</v>
      </c>
    </row>
    <row r="49" spans="1:11" x14ac:dyDescent="0.25">
      <c r="A49" t="s">
        <v>519</v>
      </c>
      <c r="B49" t="s">
        <v>119</v>
      </c>
      <c r="C49" t="s">
        <v>520</v>
      </c>
      <c r="D49">
        <v>706921192</v>
      </c>
      <c r="E49" t="s">
        <v>13</v>
      </c>
      <c r="F49" s="1">
        <v>45473</v>
      </c>
      <c r="G49" t="s">
        <v>24</v>
      </c>
      <c r="H49" s="2">
        <v>1368.23</v>
      </c>
      <c r="I49" t="s">
        <v>444</v>
      </c>
      <c r="J49" t="s">
        <v>11</v>
      </c>
      <c r="K49" t="s">
        <v>16</v>
      </c>
    </row>
    <row r="50" spans="1:11" x14ac:dyDescent="0.25">
      <c r="A50" t="s">
        <v>521</v>
      </c>
      <c r="B50" t="s">
        <v>197</v>
      </c>
      <c r="C50" t="s">
        <v>522</v>
      </c>
      <c r="D50">
        <v>705389520</v>
      </c>
      <c r="E50" t="s">
        <v>13</v>
      </c>
      <c r="F50" s="1">
        <v>45530</v>
      </c>
      <c r="G50" t="s">
        <v>10</v>
      </c>
      <c r="H50" s="2">
        <v>185.81</v>
      </c>
      <c r="I50" t="s">
        <v>25</v>
      </c>
      <c r="J50" t="s">
        <v>22</v>
      </c>
      <c r="K50" t="s">
        <v>12</v>
      </c>
    </row>
    <row r="51" spans="1:11" x14ac:dyDescent="0.25">
      <c r="A51" t="s">
        <v>523</v>
      </c>
      <c r="B51" t="s">
        <v>94</v>
      </c>
      <c r="C51" t="s">
        <v>524</v>
      </c>
      <c r="D51">
        <v>708646101</v>
      </c>
      <c r="E51" t="s">
        <v>9</v>
      </c>
      <c r="F51" s="1">
        <v>45405</v>
      </c>
      <c r="G51" t="s">
        <v>412</v>
      </c>
      <c r="H51" s="2">
        <v>1180.5999999999999</v>
      </c>
      <c r="I51" t="s">
        <v>25</v>
      </c>
      <c r="J51" t="s">
        <v>36</v>
      </c>
      <c r="K51" t="s">
        <v>12</v>
      </c>
    </row>
    <row r="52" spans="1:11" x14ac:dyDescent="0.25">
      <c r="A52" t="s">
        <v>525</v>
      </c>
      <c r="B52" t="s">
        <v>202</v>
      </c>
      <c r="C52" t="s">
        <v>526</v>
      </c>
      <c r="D52">
        <v>715742102</v>
      </c>
      <c r="E52" t="s">
        <v>9</v>
      </c>
      <c r="F52" s="1">
        <v>45701</v>
      </c>
      <c r="G52" t="s">
        <v>10</v>
      </c>
      <c r="H52" s="2">
        <v>887.97</v>
      </c>
      <c r="I52" t="s">
        <v>25</v>
      </c>
      <c r="J52" t="s">
        <v>33</v>
      </c>
      <c r="K52" t="s">
        <v>12</v>
      </c>
    </row>
    <row r="53" spans="1:11" x14ac:dyDescent="0.25">
      <c r="A53" t="s">
        <v>527</v>
      </c>
      <c r="B53" t="s">
        <v>69</v>
      </c>
      <c r="C53" t="s">
        <v>528</v>
      </c>
      <c r="D53">
        <v>737972549</v>
      </c>
      <c r="E53" t="s">
        <v>18</v>
      </c>
      <c r="F53" s="1">
        <v>45226</v>
      </c>
      <c r="G53" t="s">
        <v>35</v>
      </c>
      <c r="H53" s="2">
        <v>1355.46</v>
      </c>
      <c r="I53" t="s">
        <v>25</v>
      </c>
      <c r="J53" t="s">
        <v>11</v>
      </c>
      <c r="K53" t="s">
        <v>12</v>
      </c>
    </row>
    <row r="54" spans="1:11" x14ac:dyDescent="0.25">
      <c r="A54" t="s">
        <v>529</v>
      </c>
      <c r="B54" t="s">
        <v>31</v>
      </c>
      <c r="C54" t="s">
        <v>530</v>
      </c>
      <c r="D54">
        <v>699922916</v>
      </c>
      <c r="E54" t="s">
        <v>9</v>
      </c>
      <c r="F54" s="1">
        <v>45785</v>
      </c>
      <c r="G54" t="s">
        <v>29</v>
      </c>
      <c r="H54" s="2">
        <v>173.01</v>
      </c>
      <c r="I54" t="s">
        <v>25</v>
      </c>
      <c r="J54" t="s">
        <v>33</v>
      </c>
      <c r="K54" t="s">
        <v>12</v>
      </c>
    </row>
    <row r="55" spans="1:11" x14ac:dyDescent="0.25">
      <c r="A55" t="s">
        <v>531</v>
      </c>
      <c r="B55" t="s">
        <v>101</v>
      </c>
      <c r="C55" t="s">
        <v>532</v>
      </c>
      <c r="D55">
        <v>859966448</v>
      </c>
      <c r="E55" t="s">
        <v>18</v>
      </c>
      <c r="F55" s="1">
        <v>45839</v>
      </c>
      <c r="G55" t="s">
        <v>35</v>
      </c>
      <c r="H55" s="2">
        <v>1223.6099999999999</v>
      </c>
      <c r="I55" t="s">
        <v>507</v>
      </c>
      <c r="J55" t="s">
        <v>22</v>
      </c>
      <c r="K55" t="s">
        <v>12</v>
      </c>
    </row>
    <row r="56" spans="1:11" x14ac:dyDescent="0.25">
      <c r="A56" t="s">
        <v>533</v>
      </c>
      <c r="B56" t="s">
        <v>77</v>
      </c>
      <c r="C56" t="s">
        <v>534</v>
      </c>
      <c r="D56">
        <v>743862708</v>
      </c>
      <c r="E56" t="s">
        <v>9</v>
      </c>
      <c r="F56" s="1">
        <v>45694</v>
      </c>
      <c r="G56" t="s">
        <v>443</v>
      </c>
      <c r="H56" s="2">
        <v>1469.34</v>
      </c>
      <c r="I56" t="s">
        <v>444</v>
      </c>
      <c r="J56" t="s">
        <v>33</v>
      </c>
      <c r="K56" t="s">
        <v>12</v>
      </c>
    </row>
    <row r="57" spans="1:11" x14ac:dyDescent="0.25">
      <c r="A57" t="s">
        <v>535</v>
      </c>
      <c r="B57" t="s">
        <v>68</v>
      </c>
      <c r="C57" t="s">
        <v>536</v>
      </c>
      <c r="D57">
        <v>743293622</v>
      </c>
      <c r="E57" t="s">
        <v>9</v>
      </c>
      <c r="F57" s="1">
        <v>45349</v>
      </c>
      <c r="G57" t="s">
        <v>24</v>
      </c>
      <c r="H57" s="2">
        <v>1165.26</v>
      </c>
      <c r="I57" t="s">
        <v>25</v>
      </c>
      <c r="J57" t="s">
        <v>22</v>
      </c>
      <c r="K57" t="s">
        <v>12</v>
      </c>
    </row>
    <row r="58" spans="1:11" x14ac:dyDescent="0.25">
      <c r="A58" t="s">
        <v>537</v>
      </c>
      <c r="B58" t="s">
        <v>364</v>
      </c>
      <c r="C58" t="s">
        <v>538</v>
      </c>
      <c r="D58">
        <v>924955027</v>
      </c>
      <c r="E58" t="s">
        <v>9</v>
      </c>
      <c r="F58" s="1">
        <v>45255</v>
      </c>
      <c r="G58" t="s">
        <v>418</v>
      </c>
      <c r="H58" s="2">
        <v>1737.03</v>
      </c>
      <c r="I58" t="s">
        <v>25</v>
      </c>
      <c r="J58" t="s">
        <v>22</v>
      </c>
      <c r="K58" t="s">
        <v>12</v>
      </c>
    </row>
    <row r="59" spans="1:11" x14ac:dyDescent="0.25">
      <c r="A59" t="s">
        <v>539</v>
      </c>
      <c r="B59" t="s">
        <v>397</v>
      </c>
      <c r="C59" t="s">
        <v>540</v>
      </c>
      <c r="D59">
        <v>863311909</v>
      </c>
      <c r="E59" t="s">
        <v>9</v>
      </c>
      <c r="F59" s="1">
        <v>45557</v>
      </c>
      <c r="G59" t="s">
        <v>440</v>
      </c>
      <c r="H59" s="2">
        <v>360.73</v>
      </c>
      <c r="I59" t="s">
        <v>25</v>
      </c>
      <c r="J59" t="s">
        <v>22</v>
      </c>
      <c r="K59" t="s">
        <v>12</v>
      </c>
    </row>
    <row r="60" spans="1:11" x14ac:dyDescent="0.25">
      <c r="A60" t="s">
        <v>541</v>
      </c>
      <c r="B60" t="s">
        <v>370</v>
      </c>
      <c r="C60" t="s">
        <v>542</v>
      </c>
      <c r="D60">
        <v>705986638</v>
      </c>
      <c r="E60" t="s">
        <v>9</v>
      </c>
      <c r="F60" s="1">
        <v>45831</v>
      </c>
      <c r="G60" t="s">
        <v>47</v>
      </c>
      <c r="H60" s="2">
        <v>1619.05</v>
      </c>
      <c r="I60" t="s">
        <v>25</v>
      </c>
      <c r="J60" t="s">
        <v>22</v>
      </c>
      <c r="K60" t="s">
        <v>16</v>
      </c>
    </row>
    <row r="61" spans="1:11" x14ac:dyDescent="0.25">
      <c r="A61" t="s">
        <v>543</v>
      </c>
      <c r="B61" t="s">
        <v>276</v>
      </c>
      <c r="C61" t="s">
        <v>544</v>
      </c>
      <c r="D61">
        <v>744517295</v>
      </c>
      <c r="E61" t="s">
        <v>18</v>
      </c>
      <c r="F61" s="1">
        <v>45363</v>
      </c>
      <c r="G61" t="s">
        <v>440</v>
      </c>
      <c r="H61" s="2">
        <v>1858.18</v>
      </c>
      <c r="I61" t="s">
        <v>25</v>
      </c>
      <c r="J61" t="s">
        <v>36</v>
      </c>
      <c r="K61" t="s">
        <v>12</v>
      </c>
    </row>
    <row r="62" spans="1:11" x14ac:dyDescent="0.25">
      <c r="A62" t="s">
        <v>545</v>
      </c>
      <c r="B62" t="s">
        <v>334</v>
      </c>
      <c r="C62" t="s">
        <v>546</v>
      </c>
      <c r="D62">
        <v>739112559</v>
      </c>
      <c r="E62" t="s">
        <v>9</v>
      </c>
      <c r="F62" s="1">
        <v>45238</v>
      </c>
      <c r="G62" t="s">
        <v>443</v>
      </c>
      <c r="H62" s="2">
        <v>484.69</v>
      </c>
      <c r="I62" t="s">
        <v>25</v>
      </c>
      <c r="J62" t="s">
        <v>11</v>
      </c>
      <c r="K62" t="s">
        <v>12</v>
      </c>
    </row>
    <row r="63" spans="1:11" x14ac:dyDescent="0.25">
      <c r="A63" t="s">
        <v>547</v>
      </c>
      <c r="B63" t="s">
        <v>96</v>
      </c>
      <c r="C63" t="s">
        <v>548</v>
      </c>
      <c r="D63">
        <v>748347564</v>
      </c>
      <c r="E63" t="s">
        <v>18</v>
      </c>
      <c r="F63" s="1">
        <v>45496</v>
      </c>
      <c r="G63" t="s">
        <v>423</v>
      </c>
      <c r="H63" s="2">
        <v>343.95</v>
      </c>
      <c r="I63" t="s">
        <v>25</v>
      </c>
      <c r="J63" t="s">
        <v>11</v>
      </c>
      <c r="K63" t="s">
        <v>16</v>
      </c>
    </row>
    <row r="64" spans="1:11" x14ac:dyDescent="0.25">
      <c r="A64" t="s">
        <v>549</v>
      </c>
      <c r="B64" t="s">
        <v>183</v>
      </c>
      <c r="C64" t="s">
        <v>550</v>
      </c>
      <c r="D64">
        <v>948373777</v>
      </c>
      <c r="E64" t="s">
        <v>9</v>
      </c>
      <c r="F64" s="1">
        <v>45762</v>
      </c>
      <c r="G64" t="s">
        <v>506</v>
      </c>
      <c r="H64" s="2">
        <v>1996.43</v>
      </c>
      <c r="I64" t="s">
        <v>25</v>
      </c>
      <c r="J64" t="s">
        <v>22</v>
      </c>
      <c r="K64" t="s">
        <v>16</v>
      </c>
    </row>
    <row r="65" spans="1:11" x14ac:dyDescent="0.25">
      <c r="A65" t="s">
        <v>551</v>
      </c>
      <c r="B65" t="s">
        <v>333</v>
      </c>
      <c r="C65" t="s">
        <v>552</v>
      </c>
      <c r="D65">
        <v>907654118</v>
      </c>
      <c r="E65" t="s">
        <v>9</v>
      </c>
      <c r="F65" s="1">
        <v>45436</v>
      </c>
      <c r="G65" t="s">
        <v>423</v>
      </c>
      <c r="H65" s="2">
        <v>1395.44</v>
      </c>
      <c r="I65" t="s">
        <v>25</v>
      </c>
      <c r="J65" t="s">
        <v>22</v>
      </c>
      <c r="K65" t="s">
        <v>12</v>
      </c>
    </row>
    <row r="66" spans="1:11" x14ac:dyDescent="0.25">
      <c r="A66" t="s">
        <v>553</v>
      </c>
      <c r="B66" t="s">
        <v>283</v>
      </c>
      <c r="C66" t="s">
        <v>554</v>
      </c>
      <c r="D66">
        <v>706050514</v>
      </c>
      <c r="E66" t="s">
        <v>9</v>
      </c>
      <c r="F66" s="1">
        <v>45842</v>
      </c>
      <c r="G66" t="s">
        <v>47</v>
      </c>
      <c r="H66" s="2">
        <v>1061.8599999999999</v>
      </c>
      <c r="I66" t="s">
        <v>25</v>
      </c>
      <c r="J66" t="s">
        <v>36</v>
      </c>
      <c r="K66" t="s">
        <v>16</v>
      </c>
    </row>
    <row r="67" spans="1:11" x14ac:dyDescent="0.25">
      <c r="A67" t="s">
        <v>555</v>
      </c>
      <c r="B67" t="s">
        <v>40</v>
      </c>
      <c r="C67" t="s">
        <v>556</v>
      </c>
      <c r="D67">
        <v>997739940</v>
      </c>
      <c r="E67" t="s">
        <v>18</v>
      </c>
      <c r="F67" s="1">
        <v>45852</v>
      </c>
      <c r="G67" t="s">
        <v>418</v>
      </c>
      <c r="H67" s="2">
        <v>877.86</v>
      </c>
      <c r="I67" t="s">
        <v>25</v>
      </c>
      <c r="J67" t="s">
        <v>11</v>
      </c>
      <c r="K67" t="s">
        <v>16</v>
      </c>
    </row>
    <row r="68" spans="1:11" x14ac:dyDescent="0.25">
      <c r="A68" t="s">
        <v>557</v>
      </c>
      <c r="B68" t="s">
        <v>558</v>
      </c>
      <c r="C68" t="s">
        <v>559</v>
      </c>
      <c r="D68">
        <v>719919620</v>
      </c>
      <c r="E68" t="s">
        <v>9</v>
      </c>
      <c r="F68" s="1">
        <v>45403</v>
      </c>
      <c r="G68" t="s">
        <v>478</v>
      </c>
      <c r="H68" s="2">
        <v>610.34</v>
      </c>
      <c r="I68" t="s">
        <v>25</v>
      </c>
      <c r="J68" t="s">
        <v>33</v>
      </c>
      <c r="K68" t="s">
        <v>12</v>
      </c>
    </row>
    <row r="69" spans="1:11" x14ac:dyDescent="0.25">
      <c r="A69" t="s">
        <v>560</v>
      </c>
      <c r="B69" t="s">
        <v>71</v>
      </c>
      <c r="C69" t="s">
        <v>561</v>
      </c>
      <c r="D69">
        <v>747410141</v>
      </c>
      <c r="E69" t="s">
        <v>9</v>
      </c>
      <c r="F69" s="1">
        <v>45464</v>
      </c>
      <c r="G69" t="s">
        <v>418</v>
      </c>
      <c r="H69" s="2">
        <v>85.43</v>
      </c>
      <c r="I69" t="s">
        <v>25</v>
      </c>
      <c r="J69" t="s">
        <v>33</v>
      </c>
      <c r="K69" t="s">
        <v>16</v>
      </c>
    </row>
    <row r="70" spans="1:11" x14ac:dyDescent="0.25">
      <c r="A70" t="s">
        <v>562</v>
      </c>
      <c r="B70" t="s">
        <v>356</v>
      </c>
      <c r="C70" t="s">
        <v>563</v>
      </c>
      <c r="D70">
        <v>747024959</v>
      </c>
      <c r="E70" t="s">
        <v>18</v>
      </c>
      <c r="F70" s="1">
        <v>45671</v>
      </c>
      <c r="G70" t="s">
        <v>32</v>
      </c>
      <c r="H70" s="2">
        <v>1429.58</v>
      </c>
      <c r="I70" t="s">
        <v>25</v>
      </c>
      <c r="J70" t="s">
        <v>22</v>
      </c>
      <c r="K70" t="s">
        <v>16</v>
      </c>
    </row>
    <row r="71" spans="1:11" x14ac:dyDescent="0.25">
      <c r="A71" t="s">
        <v>564</v>
      </c>
      <c r="B71" t="s">
        <v>146</v>
      </c>
      <c r="C71" t="s">
        <v>565</v>
      </c>
      <c r="D71">
        <v>907777259</v>
      </c>
      <c r="E71" t="s">
        <v>9</v>
      </c>
      <c r="F71" s="1">
        <v>45737</v>
      </c>
      <c r="G71" t="s">
        <v>10</v>
      </c>
      <c r="H71" s="2">
        <v>617.39</v>
      </c>
      <c r="I71" t="s">
        <v>25</v>
      </c>
      <c r="J71" t="s">
        <v>22</v>
      </c>
      <c r="K71" t="s">
        <v>12</v>
      </c>
    </row>
    <row r="72" spans="1:11" x14ac:dyDescent="0.25">
      <c r="A72" t="s">
        <v>566</v>
      </c>
      <c r="B72" t="s">
        <v>321</v>
      </c>
      <c r="C72" t="s">
        <v>567</v>
      </c>
      <c r="D72">
        <v>701055024</v>
      </c>
      <c r="E72" t="s">
        <v>9</v>
      </c>
      <c r="F72" s="1">
        <v>45416</v>
      </c>
      <c r="G72" t="s">
        <v>518</v>
      </c>
      <c r="H72" s="2">
        <v>1417.81</v>
      </c>
      <c r="I72" t="s">
        <v>25</v>
      </c>
      <c r="J72" t="s">
        <v>11</v>
      </c>
      <c r="K72" t="s">
        <v>12</v>
      </c>
    </row>
    <row r="73" spans="1:11" x14ac:dyDescent="0.25">
      <c r="A73" t="s">
        <v>568</v>
      </c>
      <c r="B73" t="s">
        <v>188</v>
      </c>
      <c r="C73" t="s">
        <v>569</v>
      </c>
      <c r="D73">
        <v>841231253</v>
      </c>
      <c r="E73" t="s">
        <v>9</v>
      </c>
      <c r="F73" s="1">
        <v>45426</v>
      </c>
      <c r="G73" t="s">
        <v>47</v>
      </c>
      <c r="H73" s="2">
        <v>1908.11</v>
      </c>
      <c r="I73" t="s">
        <v>25</v>
      </c>
      <c r="J73" t="s">
        <v>22</v>
      </c>
      <c r="K73" t="s">
        <v>16</v>
      </c>
    </row>
    <row r="74" spans="1:11" x14ac:dyDescent="0.25">
      <c r="A74" t="s">
        <v>508</v>
      </c>
      <c r="B74" t="s">
        <v>203</v>
      </c>
      <c r="C74" t="s">
        <v>509</v>
      </c>
      <c r="D74">
        <v>628214825</v>
      </c>
      <c r="E74" t="s">
        <v>9</v>
      </c>
      <c r="F74" s="1">
        <v>45886</v>
      </c>
      <c r="G74" t="s">
        <v>10</v>
      </c>
      <c r="H74" s="2">
        <v>873.19</v>
      </c>
      <c r="I74" t="s">
        <v>25</v>
      </c>
      <c r="J74" t="s">
        <v>22</v>
      </c>
      <c r="K74" t="s">
        <v>12</v>
      </c>
    </row>
    <row r="75" spans="1:11" x14ac:dyDescent="0.25">
      <c r="A75" t="s">
        <v>570</v>
      </c>
      <c r="B75" t="s">
        <v>571</v>
      </c>
      <c r="C75" t="s">
        <v>572</v>
      </c>
      <c r="D75">
        <v>713291022</v>
      </c>
      <c r="E75" t="s">
        <v>13</v>
      </c>
      <c r="F75" s="1">
        <v>45707</v>
      </c>
      <c r="G75" t="s">
        <v>418</v>
      </c>
      <c r="H75" s="2">
        <v>348.52</v>
      </c>
      <c r="I75" t="s">
        <v>25</v>
      </c>
      <c r="J75" t="s">
        <v>11</v>
      </c>
      <c r="K75" t="s">
        <v>16</v>
      </c>
    </row>
    <row r="76" spans="1:11" x14ac:dyDescent="0.25">
      <c r="A76" t="s">
        <v>573</v>
      </c>
      <c r="B76" t="s">
        <v>42</v>
      </c>
      <c r="C76" t="s">
        <v>574</v>
      </c>
      <c r="D76">
        <v>737130420</v>
      </c>
      <c r="E76" t="s">
        <v>9</v>
      </c>
      <c r="F76" s="1">
        <v>45732</v>
      </c>
      <c r="G76" t="s">
        <v>32</v>
      </c>
      <c r="H76" s="2">
        <v>626.91</v>
      </c>
      <c r="I76" t="s">
        <v>25</v>
      </c>
      <c r="J76" t="s">
        <v>36</v>
      </c>
      <c r="K76" t="s">
        <v>16</v>
      </c>
    </row>
    <row r="77" spans="1:11" x14ac:dyDescent="0.25">
      <c r="A77" t="s">
        <v>575</v>
      </c>
      <c r="B77" t="s">
        <v>284</v>
      </c>
      <c r="C77" t="s">
        <v>576</v>
      </c>
      <c r="D77">
        <v>738534660</v>
      </c>
      <c r="E77" t="s">
        <v>18</v>
      </c>
      <c r="F77" s="1">
        <v>45469</v>
      </c>
      <c r="G77" t="s">
        <v>518</v>
      </c>
      <c r="H77" s="2">
        <v>772.77</v>
      </c>
      <c r="I77" t="s">
        <v>25</v>
      </c>
      <c r="J77" t="s">
        <v>36</v>
      </c>
      <c r="K77" t="s">
        <v>12</v>
      </c>
    </row>
    <row r="78" spans="1:11" x14ac:dyDescent="0.25">
      <c r="A78" t="s">
        <v>549</v>
      </c>
      <c r="B78" t="s">
        <v>183</v>
      </c>
      <c r="C78" t="s">
        <v>550</v>
      </c>
      <c r="D78">
        <v>948373777</v>
      </c>
      <c r="E78" t="s">
        <v>9</v>
      </c>
      <c r="F78" s="1">
        <v>45284</v>
      </c>
      <c r="G78" t="s">
        <v>506</v>
      </c>
      <c r="H78" s="2">
        <v>1434.81</v>
      </c>
      <c r="I78" t="s">
        <v>25</v>
      </c>
      <c r="J78" t="s">
        <v>33</v>
      </c>
      <c r="K78" t="s">
        <v>12</v>
      </c>
    </row>
    <row r="79" spans="1:11" x14ac:dyDescent="0.25">
      <c r="A79" t="s">
        <v>577</v>
      </c>
      <c r="B79" t="s">
        <v>578</v>
      </c>
      <c r="C79" t="s">
        <v>579</v>
      </c>
      <c r="D79">
        <v>655270350</v>
      </c>
      <c r="E79" t="s">
        <v>18</v>
      </c>
      <c r="F79" s="1">
        <v>45483</v>
      </c>
      <c r="G79" t="s">
        <v>506</v>
      </c>
      <c r="H79" s="2">
        <v>1088.8499999999999</v>
      </c>
      <c r="I79" t="s">
        <v>25</v>
      </c>
      <c r="J79" t="s">
        <v>36</v>
      </c>
      <c r="K79" t="s">
        <v>16</v>
      </c>
    </row>
    <row r="80" spans="1:11" x14ac:dyDescent="0.25">
      <c r="A80" t="s">
        <v>580</v>
      </c>
      <c r="B80" t="s">
        <v>224</v>
      </c>
      <c r="C80" t="s">
        <v>581</v>
      </c>
      <c r="D80">
        <v>866148409</v>
      </c>
      <c r="E80" t="s">
        <v>9</v>
      </c>
      <c r="F80" s="1">
        <v>45221</v>
      </c>
      <c r="G80" t="s">
        <v>506</v>
      </c>
      <c r="H80" s="2">
        <v>1131</v>
      </c>
      <c r="I80" t="s">
        <v>444</v>
      </c>
      <c r="J80" t="s">
        <v>26</v>
      </c>
      <c r="K80" t="s">
        <v>12</v>
      </c>
    </row>
    <row r="81" spans="1:11" x14ac:dyDescent="0.25">
      <c r="A81" t="s">
        <v>582</v>
      </c>
      <c r="B81" t="s">
        <v>347</v>
      </c>
      <c r="C81" t="s">
        <v>583</v>
      </c>
      <c r="D81">
        <v>937606933</v>
      </c>
      <c r="E81" t="s">
        <v>9</v>
      </c>
      <c r="F81" s="1">
        <v>45249</v>
      </c>
      <c r="G81" t="s">
        <v>443</v>
      </c>
      <c r="H81" s="2">
        <v>1023.01</v>
      </c>
      <c r="I81" t="s">
        <v>25</v>
      </c>
      <c r="J81" t="s">
        <v>33</v>
      </c>
      <c r="K81" t="s">
        <v>12</v>
      </c>
    </row>
    <row r="82" spans="1:11" x14ac:dyDescent="0.25">
      <c r="A82" t="s">
        <v>584</v>
      </c>
      <c r="B82" t="s">
        <v>68</v>
      </c>
      <c r="C82" t="s">
        <v>585</v>
      </c>
      <c r="D82">
        <v>699605788</v>
      </c>
      <c r="E82" t="s">
        <v>18</v>
      </c>
      <c r="F82" s="1">
        <v>45269</v>
      </c>
      <c r="G82" t="s">
        <v>440</v>
      </c>
      <c r="H82" s="2">
        <v>655.95</v>
      </c>
      <c r="I82" t="s">
        <v>25</v>
      </c>
      <c r="J82" t="s">
        <v>36</v>
      </c>
      <c r="K82" t="s">
        <v>12</v>
      </c>
    </row>
    <row r="83" spans="1:11" x14ac:dyDescent="0.25">
      <c r="A83" t="s">
        <v>586</v>
      </c>
      <c r="B83" t="s">
        <v>587</v>
      </c>
      <c r="C83" t="s">
        <v>588</v>
      </c>
      <c r="D83">
        <v>954106570</v>
      </c>
      <c r="E83" t="s">
        <v>9</v>
      </c>
      <c r="F83" s="1">
        <v>45301</v>
      </c>
      <c r="G83" t="s">
        <v>47</v>
      </c>
      <c r="H83" s="2">
        <v>61.74</v>
      </c>
      <c r="I83" t="s">
        <v>25</v>
      </c>
      <c r="J83" t="s">
        <v>36</v>
      </c>
      <c r="K83" t="s">
        <v>12</v>
      </c>
    </row>
    <row r="84" spans="1:11" x14ac:dyDescent="0.25">
      <c r="A84" t="s">
        <v>424</v>
      </c>
      <c r="B84" t="s">
        <v>137</v>
      </c>
      <c r="C84" t="s">
        <v>425</v>
      </c>
      <c r="D84">
        <v>733868257</v>
      </c>
      <c r="E84" t="s">
        <v>18</v>
      </c>
      <c r="F84" s="1">
        <v>45264</v>
      </c>
      <c r="G84" t="s">
        <v>415</v>
      </c>
      <c r="H84" s="2">
        <v>943.57</v>
      </c>
      <c r="I84" t="s">
        <v>25</v>
      </c>
      <c r="J84" t="s">
        <v>33</v>
      </c>
      <c r="K84" t="s">
        <v>16</v>
      </c>
    </row>
    <row r="85" spans="1:11" x14ac:dyDescent="0.25">
      <c r="A85" t="s">
        <v>589</v>
      </c>
      <c r="B85" t="s">
        <v>70</v>
      </c>
      <c r="C85" t="s">
        <v>590</v>
      </c>
      <c r="D85">
        <v>816160530</v>
      </c>
      <c r="E85" t="s">
        <v>18</v>
      </c>
      <c r="F85" s="1">
        <v>45298</v>
      </c>
      <c r="G85" t="s">
        <v>24</v>
      </c>
      <c r="H85" s="2">
        <v>1294.19</v>
      </c>
      <c r="I85" t="s">
        <v>25</v>
      </c>
      <c r="J85" t="s">
        <v>33</v>
      </c>
      <c r="K85" t="s">
        <v>16</v>
      </c>
    </row>
    <row r="86" spans="1:11" x14ac:dyDescent="0.25">
      <c r="A86" t="s">
        <v>525</v>
      </c>
      <c r="B86" t="s">
        <v>202</v>
      </c>
      <c r="C86" t="s">
        <v>526</v>
      </c>
      <c r="D86">
        <v>715742102</v>
      </c>
      <c r="E86" t="s">
        <v>9</v>
      </c>
      <c r="F86" s="1">
        <v>45237</v>
      </c>
      <c r="G86" t="s">
        <v>10</v>
      </c>
      <c r="H86" s="2">
        <v>1895.81</v>
      </c>
      <c r="I86" t="s">
        <v>25</v>
      </c>
      <c r="J86" t="s">
        <v>22</v>
      </c>
      <c r="K86" t="s">
        <v>12</v>
      </c>
    </row>
    <row r="87" spans="1:11" x14ac:dyDescent="0.25">
      <c r="A87" t="s">
        <v>591</v>
      </c>
      <c r="B87" t="s">
        <v>170</v>
      </c>
      <c r="C87" t="s">
        <v>592</v>
      </c>
      <c r="D87">
        <v>859697886</v>
      </c>
      <c r="E87" t="s">
        <v>9</v>
      </c>
      <c r="F87" s="1">
        <v>45256</v>
      </c>
      <c r="G87" t="s">
        <v>460</v>
      </c>
      <c r="H87" s="2">
        <v>1334.72</v>
      </c>
      <c r="I87" t="s">
        <v>25</v>
      </c>
      <c r="J87" t="s">
        <v>26</v>
      </c>
      <c r="K87" t="s">
        <v>12</v>
      </c>
    </row>
    <row r="88" spans="1:11" x14ac:dyDescent="0.25">
      <c r="A88" t="s">
        <v>593</v>
      </c>
      <c r="B88" t="s">
        <v>404</v>
      </c>
      <c r="C88" t="s">
        <v>594</v>
      </c>
      <c r="D88">
        <v>703546596</v>
      </c>
      <c r="E88" t="s">
        <v>18</v>
      </c>
      <c r="F88" s="1">
        <v>45505</v>
      </c>
      <c r="G88" t="s">
        <v>451</v>
      </c>
      <c r="H88" s="2">
        <v>904.49</v>
      </c>
      <c r="I88" t="s">
        <v>25</v>
      </c>
      <c r="J88" t="s">
        <v>33</v>
      </c>
      <c r="K88" t="s">
        <v>12</v>
      </c>
    </row>
    <row r="89" spans="1:11" x14ac:dyDescent="0.25">
      <c r="A89" t="s">
        <v>595</v>
      </c>
      <c r="B89" t="s">
        <v>34</v>
      </c>
      <c r="C89" t="s">
        <v>596</v>
      </c>
      <c r="D89">
        <v>745956596</v>
      </c>
      <c r="E89" t="s">
        <v>9</v>
      </c>
      <c r="F89" s="1">
        <v>45333</v>
      </c>
      <c r="G89" t="s">
        <v>24</v>
      </c>
      <c r="H89" s="2">
        <v>1149.96</v>
      </c>
      <c r="I89" t="s">
        <v>25</v>
      </c>
      <c r="J89" t="s">
        <v>22</v>
      </c>
      <c r="K89" t="s">
        <v>12</v>
      </c>
    </row>
    <row r="90" spans="1:11" x14ac:dyDescent="0.25">
      <c r="A90" t="s">
        <v>597</v>
      </c>
      <c r="B90" t="s">
        <v>171</v>
      </c>
      <c r="C90" t="s">
        <v>598</v>
      </c>
      <c r="D90">
        <v>733027275</v>
      </c>
      <c r="E90" t="s">
        <v>18</v>
      </c>
      <c r="F90" s="1">
        <v>45545</v>
      </c>
      <c r="G90" t="s">
        <v>19</v>
      </c>
      <c r="H90" s="2">
        <v>60.49</v>
      </c>
      <c r="I90" t="s">
        <v>25</v>
      </c>
      <c r="J90" t="s">
        <v>11</v>
      </c>
      <c r="K90" t="s">
        <v>16</v>
      </c>
    </row>
    <row r="91" spans="1:11" x14ac:dyDescent="0.25">
      <c r="A91" t="s">
        <v>599</v>
      </c>
      <c r="B91" t="s">
        <v>329</v>
      </c>
      <c r="C91" t="s">
        <v>600</v>
      </c>
      <c r="D91">
        <v>730479253</v>
      </c>
      <c r="E91" t="s">
        <v>18</v>
      </c>
      <c r="F91" s="1">
        <v>45785</v>
      </c>
      <c r="G91" t="s">
        <v>443</v>
      </c>
      <c r="H91" s="2">
        <v>639.37</v>
      </c>
      <c r="I91" t="s">
        <v>25</v>
      </c>
      <c r="J91" t="s">
        <v>33</v>
      </c>
      <c r="K91" t="s">
        <v>16</v>
      </c>
    </row>
    <row r="92" spans="1:11" x14ac:dyDescent="0.25">
      <c r="A92" t="s">
        <v>601</v>
      </c>
      <c r="B92" t="s">
        <v>339</v>
      </c>
      <c r="C92" t="s">
        <v>602</v>
      </c>
      <c r="D92">
        <v>825868533</v>
      </c>
      <c r="E92" t="s">
        <v>18</v>
      </c>
      <c r="F92" s="1">
        <v>45565</v>
      </c>
      <c r="G92" t="s">
        <v>603</v>
      </c>
      <c r="H92" s="2">
        <v>845.22</v>
      </c>
      <c r="I92" t="s">
        <v>444</v>
      </c>
      <c r="J92" t="s">
        <v>11</v>
      </c>
      <c r="K92" t="s">
        <v>12</v>
      </c>
    </row>
    <row r="93" spans="1:11" x14ac:dyDescent="0.25">
      <c r="A93" t="s">
        <v>473</v>
      </c>
      <c r="B93" t="s">
        <v>242</v>
      </c>
      <c r="C93" t="s">
        <v>474</v>
      </c>
      <c r="D93">
        <v>723510058</v>
      </c>
      <c r="E93" t="s">
        <v>18</v>
      </c>
      <c r="F93" s="1">
        <v>45278</v>
      </c>
      <c r="G93" t="s">
        <v>475</v>
      </c>
      <c r="H93" s="2">
        <v>1564.65</v>
      </c>
      <c r="I93" t="s">
        <v>25</v>
      </c>
      <c r="J93" t="s">
        <v>36</v>
      </c>
      <c r="K93" t="s">
        <v>16</v>
      </c>
    </row>
    <row r="94" spans="1:11" x14ac:dyDescent="0.25">
      <c r="A94" t="s">
        <v>438</v>
      </c>
      <c r="B94" t="s">
        <v>153</v>
      </c>
      <c r="C94" t="s">
        <v>439</v>
      </c>
      <c r="D94">
        <v>734311637</v>
      </c>
      <c r="E94" t="s">
        <v>9</v>
      </c>
      <c r="F94" s="1">
        <v>45783</v>
      </c>
      <c r="G94" t="s">
        <v>440</v>
      </c>
      <c r="H94" s="2">
        <v>72.180000000000007</v>
      </c>
      <c r="I94" t="s">
        <v>25</v>
      </c>
      <c r="J94" t="s">
        <v>33</v>
      </c>
      <c r="K94" t="s">
        <v>12</v>
      </c>
    </row>
    <row r="95" spans="1:11" x14ac:dyDescent="0.25">
      <c r="A95" t="s">
        <v>604</v>
      </c>
      <c r="B95" t="s">
        <v>44</v>
      </c>
      <c r="C95" t="s">
        <v>605</v>
      </c>
      <c r="D95">
        <v>624519478</v>
      </c>
      <c r="E95" t="s">
        <v>18</v>
      </c>
      <c r="F95" s="1">
        <v>45688</v>
      </c>
      <c r="G95" t="s">
        <v>443</v>
      </c>
      <c r="H95" s="2">
        <v>1968.49</v>
      </c>
      <c r="I95" t="s">
        <v>25</v>
      </c>
      <c r="J95" t="s">
        <v>33</v>
      </c>
      <c r="K95" t="s">
        <v>16</v>
      </c>
    </row>
    <row r="96" spans="1:11" x14ac:dyDescent="0.25">
      <c r="A96" t="s">
        <v>606</v>
      </c>
      <c r="B96" t="s">
        <v>75</v>
      </c>
      <c r="C96" t="s">
        <v>607</v>
      </c>
      <c r="D96">
        <v>701371902</v>
      </c>
      <c r="E96" t="s">
        <v>9</v>
      </c>
      <c r="F96" s="1">
        <v>45526</v>
      </c>
      <c r="G96" t="s">
        <v>39</v>
      </c>
      <c r="H96" s="2">
        <v>338.79</v>
      </c>
      <c r="I96" t="s">
        <v>25</v>
      </c>
      <c r="J96" t="s">
        <v>26</v>
      </c>
      <c r="K96" t="s">
        <v>12</v>
      </c>
    </row>
    <row r="97" spans="1:11" x14ac:dyDescent="0.25">
      <c r="A97" t="s">
        <v>545</v>
      </c>
      <c r="B97" t="s">
        <v>334</v>
      </c>
      <c r="C97" t="s">
        <v>546</v>
      </c>
      <c r="D97">
        <v>739112559</v>
      </c>
      <c r="E97" t="s">
        <v>9</v>
      </c>
      <c r="F97" s="1">
        <v>45489</v>
      </c>
      <c r="G97" t="s">
        <v>443</v>
      </c>
      <c r="H97" s="2">
        <v>1681.29</v>
      </c>
      <c r="I97" t="s">
        <v>25</v>
      </c>
      <c r="J97" t="s">
        <v>36</v>
      </c>
      <c r="K97" t="s">
        <v>12</v>
      </c>
    </row>
    <row r="98" spans="1:11" x14ac:dyDescent="0.25">
      <c r="A98" t="s">
        <v>608</v>
      </c>
      <c r="B98" t="s">
        <v>255</v>
      </c>
      <c r="C98" t="s">
        <v>609</v>
      </c>
      <c r="D98">
        <v>728508171</v>
      </c>
      <c r="E98" t="s">
        <v>9</v>
      </c>
      <c r="F98" s="1">
        <v>45435</v>
      </c>
      <c r="G98" t="s">
        <v>10</v>
      </c>
      <c r="H98" s="2">
        <v>1720.32</v>
      </c>
      <c r="I98" t="s">
        <v>25</v>
      </c>
      <c r="J98" t="s">
        <v>33</v>
      </c>
      <c r="K98" t="s">
        <v>16</v>
      </c>
    </row>
    <row r="99" spans="1:11" x14ac:dyDescent="0.25">
      <c r="A99" t="s">
        <v>610</v>
      </c>
      <c r="B99" t="s">
        <v>385</v>
      </c>
      <c r="C99" t="s">
        <v>611</v>
      </c>
      <c r="D99">
        <v>709840779</v>
      </c>
      <c r="E99" t="s">
        <v>13</v>
      </c>
      <c r="F99" s="1">
        <v>45383</v>
      </c>
      <c r="G99" t="s">
        <v>14</v>
      </c>
      <c r="H99" s="2">
        <v>1388.3</v>
      </c>
      <c r="I99" t="s">
        <v>444</v>
      </c>
      <c r="J99" t="s">
        <v>33</v>
      </c>
      <c r="K99" t="s">
        <v>16</v>
      </c>
    </row>
    <row r="100" spans="1:11" x14ac:dyDescent="0.25">
      <c r="A100" t="s">
        <v>612</v>
      </c>
      <c r="B100" t="s">
        <v>308</v>
      </c>
      <c r="C100" t="s">
        <v>613</v>
      </c>
      <c r="D100">
        <v>702654485</v>
      </c>
      <c r="E100" t="s">
        <v>9</v>
      </c>
      <c r="F100" s="1">
        <v>45470</v>
      </c>
      <c r="G100" t="s">
        <v>418</v>
      </c>
      <c r="H100" s="2">
        <v>1947.7</v>
      </c>
      <c r="I100" t="s">
        <v>25</v>
      </c>
      <c r="J100" t="s">
        <v>22</v>
      </c>
      <c r="K100" t="s">
        <v>12</v>
      </c>
    </row>
    <row r="101" spans="1:11" x14ac:dyDescent="0.25">
      <c r="A101" t="s">
        <v>614</v>
      </c>
      <c r="B101" t="s">
        <v>210</v>
      </c>
      <c r="C101" t="s">
        <v>615</v>
      </c>
      <c r="D101">
        <v>701528957</v>
      </c>
      <c r="E101" t="s">
        <v>18</v>
      </c>
      <c r="F101" s="1">
        <v>45386</v>
      </c>
      <c r="G101" t="s">
        <v>39</v>
      </c>
      <c r="H101" s="2">
        <v>689.89</v>
      </c>
      <c r="I101" t="s">
        <v>507</v>
      </c>
      <c r="J101" t="s">
        <v>11</v>
      </c>
      <c r="K101" t="s">
        <v>16</v>
      </c>
    </row>
    <row r="102" spans="1:11" x14ac:dyDescent="0.25">
      <c r="A102" t="s">
        <v>616</v>
      </c>
      <c r="B102" t="s">
        <v>17</v>
      </c>
      <c r="C102" t="s">
        <v>617</v>
      </c>
      <c r="D102">
        <v>802128905</v>
      </c>
      <c r="E102" t="s">
        <v>9</v>
      </c>
      <c r="F102" s="1">
        <v>45419</v>
      </c>
      <c r="G102" t="s">
        <v>412</v>
      </c>
      <c r="H102" s="2">
        <v>422.81</v>
      </c>
      <c r="I102" t="s">
        <v>25</v>
      </c>
      <c r="J102" t="s">
        <v>22</v>
      </c>
      <c r="K102" t="s">
        <v>12</v>
      </c>
    </row>
    <row r="103" spans="1:11" x14ac:dyDescent="0.25">
      <c r="A103" t="s">
        <v>618</v>
      </c>
      <c r="B103" t="s">
        <v>250</v>
      </c>
      <c r="C103" t="s">
        <v>619</v>
      </c>
      <c r="D103">
        <v>730582836</v>
      </c>
      <c r="E103" t="s">
        <v>18</v>
      </c>
      <c r="F103" s="1">
        <v>45264</v>
      </c>
      <c r="G103" t="s">
        <v>451</v>
      </c>
      <c r="H103" s="2">
        <v>1318.13</v>
      </c>
      <c r="I103" t="s">
        <v>25</v>
      </c>
      <c r="J103" t="s">
        <v>11</v>
      </c>
      <c r="K103" t="s">
        <v>16</v>
      </c>
    </row>
    <row r="104" spans="1:11" x14ac:dyDescent="0.25">
      <c r="A104" t="s">
        <v>424</v>
      </c>
      <c r="B104" t="s">
        <v>137</v>
      </c>
      <c r="C104" t="s">
        <v>425</v>
      </c>
      <c r="D104">
        <v>733868257</v>
      </c>
      <c r="E104" t="s">
        <v>18</v>
      </c>
      <c r="F104" s="1">
        <v>45338</v>
      </c>
      <c r="G104" t="s">
        <v>415</v>
      </c>
      <c r="H104" s="2">
        <v>704.28</v>
      </c>
      <c r="I104" t="s">
        <v>25</v>
      </c>
      <c r="J104" t="s">
        <v>33</v>
      </c>
      <c r="K104" t="s">
        <v>16</v>
      </c>
    </row>
    <row r="105" spans="1:11" x14ac:dyDescent="0.25">
      <c r="A105" t="s">
        <v>620</v>
      </c>
      <c r="B105" t="s">
        <v>327</v>
      </c>
      <c r="C105" t="s">
        <v>621</v>
      </c>
      <c r="D105">
        <v>728693313</v>
      </c>
      <c r="E105" t="s">
        <v>18</v>
      </c>
      <c r="F105" s="1">
        <v>45289</v>
      </c>
      <c r="G105" t="s">
        <v>460</v>
      </c>
      <c r="H105" s="2">
        <v>1032.79</v>
      </c>
      <c r="I105" t="s">
        <v>25</v>
      </c>
      <c r="J105" t="s">
        <v>11</v>
      </c>
      <c r="K105" t="s">
        <v>12</v>
      </c>
    </row>
    <row r="106" spans="1:11" x14ac:dyDescent="0.25">
      <c r="A106" t="s">
        <v>622</v>
      </c>
      <c r="B106" t="s">
        <v>274</v>
      </c>
      <c r="C106" t="s">
        <v>623</v>
      </c>
      <c r="D106">
        <v>749724328</v>
      </c>
      <c r="E106" t="s">
        <v>9</v>
      </c>
      <c r="F106" s="1">
        <v>45884</v>
      </c>
      <c r="G106" t="s">
        <v>624</v>
      </c>
      <c r="H106" s="2">
        <v>55.78</v>
      </c>
      <c r="I106" t="s">
        <v>25</v>
      </c>
      <c r="J106" t="s">
        <v>33</v>
      </c>
      <c r="K106" t="s">
        <v>12</v>
      </c>
    </row>
    <row r="107" spans="1:11" x14ac:dyDescent="0.25">
      <c r="A107" t="s">
        <v>625</v>
      </c>
      <c r="B107" t="s">
        <v>375</v>
      </c>
      <c r="C107" t="s">
        <v>626</v>
      </c>
      <c r="D107">
        <v>733325222</v>
      </c>
      <c r="E107" t="s">
        <v>9</v>
      </c>
      <c r="F107" s="1">
        <v>45498</v>
      </c>
      <c r="G107" t="s">
        <v>475</v>
      </c>
      <c r="H107" s="2">
        <v>608.51</v>
      </c>
      <c r="I107" t="s">
        <v>25</v>
      </c>
      <c r="J107" t="s">
        <v>11</v>
      </c>
      <c r="K107" t="s">
        <v>16</v>
      </c>
    </row>
    <row r="108" spans="1:11" x14ac:dyDescent="0.25">
      <c r="A108" t="s">
        <v>627</v>
      </c>
      <c r="B108" t="s">
        <v>58</v>
      </c>
      <c r="C108" t="s">
        <v>628</v>
      </c>
      <c r="D108">
        <v>970397357</v>
      </c>
      <c r="E108" t="s">
        <v>18</v>
      </c>
      <c r="F108" s="1">
        <v>45198</v>
      </c>
      <c r="G108" t="s">
        <v>418</v>
      </c>
      <c r="H108" s="2">
        <v>1427.59</v>
      </c>
      <c r="I108" t="s">
        <v>25</v>
      </c>
      <c r="J108" t="s">
        <v>11</v>
      </c>
      <c r="K108" t="s">
        <v>12</v>
      </c>
    </row>
    <row r="109" spans="1:11" x14ac:dyDescent="0.25">
      <c r="A109" t="s">
        <v>629</v>
      </c>
      <c r="B109" t="s">
        <v>62</v>
      </c>
      <c r="C109" t="s">
        <v>630</v>
      </c>
      <c r="D109">
        <v>649943369</v>
      </c>
      <c r="E109" t="s">
        <v>18</v>
      </c>
      <c r="F109" s="1">
        <v>45881</v>
      </c>
      <c r="G109" t="s">
        <v>21</v>
      </c>
      <c r="H109" s="2">
        <v>311.07</v>
      </c>
      <c r="I109" t="s">
        <v>25</v>
      </c>
      <c r="J109" t="s">
        <v>22</v>
      </c>
      <c r="K109" t="s">
        <v>16</v>
      </c>
    </row>
    <row r="110" spans="1:11" x14ac:dyDescent="0.25">
      <c r="A110" t="s">
        <v>479</v>
      </c>
      <c r="B110" t="s">
        <v>480</v>
      </c>
      <c r="C110" t="s">
        <v>481</v>
      </c>
      <c r="D110">
        <v>727899933</v>
      </c>
      <c r="E110" t="s">
        <v>18</v>
      </c>
      <c r="F110" s="1">
        <v>45573</v>
      </c>
      <c r="G110" t="s">
        <v>443</v>
      </c>
      <c r="H110" s="2">
        <v>1791.44</v>
      </c>
      <c r="I110" t="s">
        <v>25</v>
      </c>
      <c r="J110" t="s">
        <v>11</v>
      </c>
      <c r="K110" t="s">
        <v>12</v>
      </c>
    </row>
    <row r="111" spans="1:11" x14ac:dyDescent="0.25">
      <c r="A111" t="s">
        <v>631</v>
      </c>
      <c r="B111" t="s">
        <v>54</v>
      </c>
      <c r="C111" t="s">
        <v>632</v>
      </c>
      <c r="D111">
        <v>717372411</v>
      </c>
      <c r="E111" t="s">
        <v>9</v>
      </c>
      <c r="F111" s="1">
        <v>45432</v>
      </c>
      <c r="G111" t="s">
        <v>14</v>
      </c>
      <c r="H111" s="2">
        <v>141.83000000000001</v>
      </c>
      <c r="I111" t="s">
        <v>444</v>
      </c>
      <c r="J111" t="s">
        <v>22</v>
      </c>
      <c r="K111" t="s">
        <v>16</v>
      </c>
    </row>
    <row r="112" spans="1:11" x14ac:dyDescent="0.25">
      <c r="A112" t="s">
        <v>484</v>
      </c>
      <c r="B112" t="s">
        <v>111</v>
      </c>
      <c r="C112" t="s">
        <v>485</v>
      </c>
      <c r="D112">
        <v>826663368</v>
      </c>
      <c r="E112" t="s">
        <v>18</v>
      </c>
      <c r="F112" s="1">
        <v>45696</v>
      </c>
      <c r="G112" t="s">
        <v>415</v>
      </c>
      <c r="H112" s="2">
        <v>1642.11</v>
      </c>
      <c r="I112" t="s">
        <v>25</v>
      </c>
      <c r="J112" t="s">
        <v>33</v>
      </c>
      <c r="K112" t="s">
        <v>16</v>
      </c>
    </row>
    <row r="113" spans="1:11" x14ac:dyDescent="0.25">
      <c r="A113" t="s">
        <v>633</v>
      </c>
      <c r="B113" t="s">
        <v>397</v>
      </c>
      <c r="C113" t="s">
        <v>634</v>
      </c>
      <c r="D113">
        <v>749804420</v>
      </c>
      <c r="E113" t="s">
        <v>18</v>
      </c>
      <c r="F113" s="1">
        <v>45608</v>
      </c>
      <c r="G113" t="s">
        <v>624</v>
      </c>
      <c r="H113" s="2">
        <v>329.82</v>
      </c>
      <c r="I113" t="s">
        <v>25</v>
      </c>
      <c r="J113" t="s">
        <v>26</v>
      </c>
      <c r="K113" t="s">
        <v>12</v>
      </c>
    </row>
    <row r="114" spans="1:11" x14ac:dyDescent="0.25">
      <c r="A114" t="s">
        <v>635</v>
      </c>
      <c r="B114" t="s">
        <v>274</v>
      </c>
      <c r="C114" t="s">
        <v>636</v>
      </c>
      <c r="D114">
        <v>719168799</v>
      </c>
      <c r="E114" t="s">
        <v>9</v>
      </c>
      <c r="F114" s="1">
        <v>45409</v>
      </c>
      <c r="G114" t="s">
        <v>19</v>
      </c>
      <c r="H114" s="2">
        <v>63.46</v>
      </c>
      <c r="I114" t="s">
        <v>25</v>
      </c>
      <c r="J114" t="s">
        <v>22</v>
      </c>
      <c r="K114" t="s">
        <v>12</v>
      </c>
    </row>
    <row r="115" spans="1:11" x14ac:dyDescent="0.25">
      <c r="A115" t="s">
        <v>637</v>
      </c>
      <c r="B115" t="s">
        <v>176</v>
      </c>
      <c r="C115" t="s">
        <v>638</v>
      </c>
      <c r="D115">
        <v>721361791</v>
      </c>
      <c r="E115" t="s">
        <v>9</v>
      </c>
      <c r="F115" s="1">
        <v>45679</v>
      </c>
      <c r="G115" t="s">
        <v>440</v>
      </c>
      <c r="H115" s="2">
        <v>1968.75</v>
      </c>
      <c r="I115" t="s">
        <v>25</v>
      </c>
      <c r="J115" t="s">
        <v>11</v>
      </c>
      <c r="K115" t="s">
        <v>12</v>
      </c>
    </row>
    <row r="116" spans="1:11" x14ac:dyDescent="0.25">
      <c r="A116" t="s">
        <v>639</v>
      </c>
      <c r="B116" t="s">
        <v>259</v>
      </c>
      <c r="C116" t="s">
        <v>640</v>
      </c>
      <c r="D116">
        <v>930065477</v>
      </c>
      <c r="E116" t="s">
        <v>9</v>
      </c>
      <c r="F116" s="1">
        <v>45468</v>
      </c>
      <c r="G116" t="s">
        <v>35</v>
      </c>
      <c r="H116" s="2">
        <v>1668.13</v>
      </c>
      <c r="I116" t="s">
        <v>25</v>
      </c>
      <c r="J116" t="s">
        <v>11</v>
      </c>
      <c r="K116" t="s">
        <v>16</v>
      </c>
    </row>
    <row r="117" spans="1:11" x14ac:dyDescent="0.25">
      <c r="A117" t="s">
        <v>641</v>
      </c>
      <c r="B117" t="s">
        <v>109</v>
      </c>
      <c r="C117" t="s">
        <v>642</v>
      </c>
      <c r="D117">
        <v>725175634</v>
      </c>
      <c r="E117" t="s">
        <v>9</v>
      </c>
      <c r="F117" s="1">
        <v>45389</v>
      </c>
      <c r="G117" t="s">
        <v>418</v>
      </c>
      <c r="H117" s="2">
        <v>592.24</v>
      </c>
      <c r="I117" t="s">
        <v>25</v>
      </c>
      <c r="J117" t="s">
        <v>22</v>
      </c>
      <c r="K117" t="s">
        <v>16</v>
      </c>
    </row>
    <row r="118" spans="1:11" x14ac:dyDescent="0.25">
      <c r="A118" t="s">
        <v>643</v>
      </c>
      <c r="B118" t="s">
        <v>389</v>
      </c>
      <c r="C118" t="s">
        <v>644</v>
      </c>
      <c r="D118">
        <v>723547702</v>
      </c>
      <c r="E118" t="s">
        <v>9</v>
      </c>
      <c r="F118" s="1">
        <v>45864</v>
      </c>
      <c r="G118" t="s">
        <v>603</v>
      </c>
      <c r="H118" s="2">
        <v>305.83</v>
      </c>
      <c r="I118" t="s">
        <v>25</v>
      </c>
      <c r="J118" t="s">
        <v>22</v>
      </c>
      <c r="K118" t="s">
        <v>16</v>
      </c>
    </row>
    <row r="119" spans="1:11" x14ac:dyDescent="0.25">
      <c r="A119" t="s">
        <v>645</v>
      </c>
      <c r="B119" t="s">
        <v>168</v>
      </c>
      <c r="C119" t="s">
        <v>646</v>
      </c>
      <c r="D119">
        <v>744704520</v>
      </c>
      <c r="E119" t="s">
        <v>9</v>
      </c>
      <c r="F119" s="1">
        <v>45463</v>
      </c>
      <c r="G119" t="s">
        <v>24</v>
      </c>
      <c r="H119" s="2">
        <v>1523.49</v>
      </c>
      <c r="I119" t="s">
        <v>25</v>
      </c>
      <c r="J119" t="s">
        <v>22</v>
      </c>
      <c r="K119" t="s">
        <v>16</v>
      </c>
    </row>
    <row r="120" spans="1:11" x14ac:dyDescent="0.25">
      <c r="A120" t="s">
        <v>647</v>
      </c>
      <c r="B120" t="s">
        <v>225</v>
      </c>
      <c r="C120" t="s">
        <v>648</v>
      </c>
      <c r="D120">
        <v>979540496</v>
      </c>
      <c r="E120" t="s">
        <v>9</v>
      </c>
      <c r="F120" s="1">
        <v>45243</v>
      </c>
      <c r="G120" t="s">
        <v>423</v>
      </c>
      <c r="H120" s="2">
        <v>1831.09</v>
      </c>
      <c r="I120" t="s">
        <v>25</v>
      </c>
      <c r="J120" t="s">
        <v>33</v>
      </c>
      <c r="K120" t="s">
        <v>16</v>
      </c>
    </row>
    <row r="121" spans="1:11" x14ac:dyDescent="0.25">
      <c r="A121" t="s">
        <v>637</v>
      </c>
      <c r="B121" t="s">
        <v>176</v>
      </c>
      <c r="C121" t="s">
        <v>638</v>
      </c>
      <c r="D121">
        <v>721361791</v>
      </c>
      <c r="E121" t="s">
        <v>9</v>
      </c>
      <c r="F121" s="1">
        <v>45642</v>
      </c>
      <c r="G121" t="s">
        <v>440</v>
      </c>
      <c r="H121" s="2">
        <v>1655.66</v>
      </c>
      <c r="I121" t="s">
        <v>25</v>
      </c>
      <c r="J121" t="s">
        <v>36</v>
      </c>
      <c r="K121" t="s">
        <v>12</v>
      </c>
    </row>
    <row r="122" spans="1:11" x14ac:dyDescent="0.25">
      <c r="A122" t="s">
        <v>649</v>
      </c>
      <c r="B122" t="s">
        <v>23</v>
      </c>
      <c r="C122" t="s">
        <v>650</v>
      </c>
      <c r="D122">
        <v>681942999</v>
      </c>
      <c r="E122" t="s">
        <v>9</v>
      </c>
      <c r="F122" s="1">
        <v>45820</v>
      </c>
      <c r="G122" t="s">
        <v>10</v>
      </c>
      <c r="H122" s="2">
        <v>37.19</v>
      </c>
      <c r="I122" t="s">
        <v>25</v>
      </c>
      <c r="J122" t="s">
        <v>22</v>
      </c>
      <c r="K122" t="s">
        <v>16</v>
      </c>
    </row>
    <row r="123" spans="1:11" x14ac:dyDescent="0.25">
      <c r="A123" t="s">
        <v>651</v>
      </c>
      <c r="B123" t="s">
        <v>134</v>
      </c>
      <c r="C123" t="s">
        <v>652</v>
      </c>
      <c r="D123">
        <v>721752316</v>
      </c>
      <c r="E123" t="s">
        <v>18</v>
      </c>
      <c r="F123" s="1">
        <v>45799</v>
      </c>
      <c r="G123" t="s">
        <v>19</v>
      </c>
      <c r="H123" s="2">
        <v>960.2</v>
      </c>
      <c r="I123" t="s">
        <v>25</v>
      </c>
      <c r="J123" t="s">
        <v>33</v>
      </c>
      <c r="K123" t="s">
        <v>12</v>
      </c>
    </row>
    <row r="124" spans="1:11" x14ac:dyDescent="0.25">
      <c r="A124" t="s">
        <v>424</v>
      </c>
      <c r="B124" t="s">
        <v>137</v>
      </c>
      <c r="C124" t="s">
        <v>425</v>
      </c>
      <c r="D124">
        <v>733868257</v>
      </c>
      <c r="E124" t="s">
        <v>18</v>
      </c>
      <c r="F124" s="1">
        <v>45652</v>
      </c>
      <c r="G124" t="s">
        <v>415</v>
      </c>
      <c r="H124" s="2">
        <v>839.83</v>
      </c>
      <c r="I124" t="s">
        <v>444</v>
      </c>
      <c r="J124" t="s">
        <v>11</v>
      </c>
      <c r="K124" t="s">
        <v>12</v>
      </c>
    </row>
    <row r="125" spans="1:11" x14ac:dyDescent="0.25">
      <c r="A125" t="s">
        <v>653</v>
      </c>
      <c r="B125" t="s">
        <v>654</v>
      </c>
      <c r="C125" t="s">
        <v>655</v>
      </c>
      <c r="D125">
        <v>719370887</v>
      </c>
      <c r="E125" t="s">
        <v>18</v>
      </c>
      <c r="F125" s="1">
        <v>45360</v>
      </c>
      <c r="G125" t="s">
        <v>475</v>
      </c>
      <c r="H125" s="2">
        <v>1971.07</v>
      </c>
      <c r="I125" t="s">
        <v>25</v>
      </c>
      <c r="J125" t="s">
        <v>11</v>
      </c>
      <c r="K125" t="s">
        <v>12</v>
      </c>
    </row>
    <row r="126" spans="1:11" x14ac:dyDescent="0.25">
      <c r="A126" t="s">
        <v>656</v>
      </c>
      <c r="B126" t="s">
        <v>110</v>
      </c>
      <c r="C126" t="s">
        <v>657</v>
      </c>
      <c r="D126">
        <v>735500587</v>
      </c>
      <c r="E126" t="s">
        <v>18</v>
      </c>
      <c r="F126" s="1">
        <v>45587</v>
      </c>
      <c r="G126" t="s">
        <v>32</v>
      </c>
      <c r="H126" s="2">
        <v>309.77</v>
      </c>
      <c r="I126" t="s">
        <v>25</v>
      </c>
      <c r="J126" t="s">
        <v>11</v>
      </c>
      <c r="K126" t="s">
        <v>16</v>
      </c>
    </row>
    <row r="127" spans="1:11" x14ac:dyDescent="0.25">
      <c r="A127" t="s">
        <v>658</v>
      </c>
      <c r="B127" t="s">
        <v>222</v>
      </c>
      <c r="C127" t="s">
        <v>659</v>
      </c>
      <c r="D127">
        <v>682341936</v>
      </c>
      <c r="E127" t="s">
        <v>9</v>
      </c>
      <c r="F127" s="1">
        <v>45881</v>
      </c>
      <c r="G127" t="s">
        <v>415</v>
      </c>
      <c r="H127" s="2">
        <v>1258.04</v>
      </c>
      <c r="I127" t="s">
        <v>25</v>
      </c>
      <c r="J127" t="s">
        <v>22</v>
      </c>
      <c r="K127" t="s">
        <v>12</v>
      </c>
    </row>
    <row r="128" spans="1:11" x14ac:dyDescent="0.25">
      <c r="A128" t="s">
        <v>660</v>
      </c>
      <c r="B128" t="s">
        <v>325</v>
      </c>
      <c r="C128" t="s">
        <v>661</v>
      </c>
      <c r="D128">
        <v>727937300</v>
      </c>
      <c r="E128" t="s">
        <v>9</v>
      </c>
      <c r="F128" s="1">
        <v>45889</v>
      </c>
      <c r="G128" t="s">
        <v>47</v>
      </c>
      <c r="H128" s="2">
        <v>1233.6300000000001</v>
      </c>
      <c r="I128" t="s">
        <v>25</v>
      </c>
      <c r="J128" t="s">
        <v>33</v>
      </c>
      <c r="K128" t="s">
        <v>16</v>
      </c>
    </row>
    <row r="129" spans="1:11" x14ac:dyDescent="0.25">
      <c r="A129" t="s">
        <v>662</v>
      </c>
      <c r="B129" t="s">
        <v>241</v>
      </c>
      <c r="C129" t="s">
        <v>663</v>
      </c>
      <c r="D129">
        <v>717637012</v>
      </c>
      <c r="E129" t="s">
        <v>18</v>
      </c>
      <c r="F129" s="1">
        <v>45465</v>
      </c>
      <c r="G129" t="s">
        <v>29</v>
      </c>
      <c r="H129" s="2">
        <v>559.34</v>
      </c>
      <c r="I129" t="s">
        <v>25</v>
      </c>
      <c r="J129" t="s">
        <v>11</v>
      </c>
      <c r="K129" t="s">
        <v>16</v>
      </c>
    </row>
    <row r="130" spans="1:11" x14ac:dyDescent="0.25">
      <c r="A130" t="s">
        <v>664</v>
      </c>
      <c r="B130" t="s">
        <v>80</v>
      </c>
      <c r="C130" t="s">
        <v>665</v>
      </c>
      <c r="D130">
        <v>622023254</v>
      </c>
      <c r="E130" t="s">
        <v>9</v>
      </c>
      <c r="F130" s="1">
        <v>45736</v>
      </c>
      <c r="G130" t="s">
        <v>32</v>
      </c>
      <c r="H130" s="2">
        <v>609.35</v>
      </c>
      <c r="I130" t="s">
        <v>25</v>
      </c>
      <c r="J130" t="s">
        <v>33</v>
      </c>
      <c r="K130" t="s">
        <v>16</v>
      </c>
    </row>
    <row r="131" spans="1:11" x14ac:dyDescent="0.25">
      <c r="A131" t="s">
        <v>666</v>
      </c>
      <c r="B131" t="s">
        <v>667</v>
      </c>
      <c r="C131" t="s">
        <v>668</v>
      </c>
      <c r="D131">
        <v>608275218</v>
      </c>
      <c r="E131" t="s">
        <v>9</v>
      </c>
      <c r="F131" s="1">
        <v>45644</v>
      </c>
      <c r="G131" t="s">
        <v>35</v>
      </c>
      <c r="H131" s="2">
        <v>779.38</v>
      </c>
      <c r="I131" t="s">
        <v>25</v>
      </c>
      <c r="J131" t="s">
        <v>33</v>
      </c>
      <c r="K131" t="s">
        <v>16</v>
      </c>
    </row>
    <row r="132" spans="1:11" x14ac:dyDescent="0.25">
      <c r="A132" t="s">
        <v>669</v>
      </c>
      <c r="B132" t="s">
        <v>95</v>
      </c>
      <c r="C132" t="s">
        <v>670</v>
      </c>
      <c r="D132">
        <v>749984420</v>
      </c>
      <c r="E132" t="s">
        <v>9</v>
      </c>
      <c r="F132" s="1">
        <v>45223</v>
      </c>
      <c r="G132" t="s">
        <v>518</v>
      </c>
      <c r="H132" s="2">
        <v>1283.26</v>
      </c>
      <c r="I132" t="s">
        <v>25</v>
      </c>
      <c r="J132" t="s">
        <v>33</v>
      </c>
      <c r="K132" t="s">
        <v>12</v>
      </c>
    </row>
    <row r="133" spans="1:11" x14ac:dyDescent="0.25">
      <c r="A133" t="s">
        <v>671</v>
      </c>
      <c r="B133" t="s">
        <v>204</v>
      </c>
      <c r="C133" t="s">
        <v>672</v>
      </c>
      <c r="D133">
        <v>717655927</v>
      </c>
      <c r="E133" t="s">
        <v>18</v>
      </c>
      <c r="F133" s="1">
        <v>45752</v>
      </c>
      <c r="G133" t="s">
        <v>624</v>
      </c>
      <c r="H133" s="2">
        <v>719.75</v>
      </c>
      <c r="I133" t="s">
        <v>25</v>
      </c>
      <c r="J133" t="s">
        <v>36</v>
      </c>
      <c r="K133" t="s">
        <v>12</v>
      </c>
    </row>
    <row r="134" spans="1:11" x14ac:dyDescent="0.25">
      <c r="A134" t="s">
        <v>673</v>
      </c>
      <c r="B134" t="s">
        <v>331</v>
      </c>
      <c r="C134" t="s">
        <v>674</v>
      </c>
      <c r="D134">
        <v>708260146</v>
      </c>
      <c r="E134" t="s">
        <v>13</v>
      </c>
      <c r="F134" s="1">
        <v>45495</v>
      </c>
      <c r="G134" t="s">
        <v>10</v>
      </c>
      <c r="H134" s="2">
        <v>1139.45</v>
      </c>
      <c r="I134" t="s">
        <v>25</v>
      </c>
      <c r="J134" t="s">
        <v>22</v>
      </c>
      <c r="K134" t="s">
        <v>12</v>
      </c>
    </row>
    <row r="135" spans="1:11" x14ac:dyDescent="0.25">
      <c r="A135" t="s">
        <v>675</v>
      </c>
      <c r="B135" t="s">
        <v>288</v>
      </c>
      <c r="C135" t="s">
        <v>676</v>
      </c>
      <c r="D135">
        <v>715497471</v>
      </c>
      <c r="E135" t="s">
        <v>9</v>
      </c>
      <c r="F135" s="1">
        <v>45789</v>
      </c>
      <c r="G135" t="s">
        <v>518</v>
      </c>
      <c r="H135" s="2">
        <v>693.23</v>
      </c>
      <c r="I135" t="s">
        <v>25</v>
      </c>
      <c r="J135" t="s">
        <v>22</v>
      </c>
      <c r="K135" t="s">
        <v>12</v>
      </c>
    </row>
    <row r="136" spans="1:11" x14ac:dyDescent="0.25">
      <c r="A136" t="s">
        <v>677</v>
      </c>
      <c r="B136" t="s">
        <v>161</v>
      </c>
      <c r="C136" t="s">
        <v>678</v>
      </c>
      <c r="D136">
        <v>911729847</v>
      </c>
      <c r="E136" t="s">
        <v>18</v>
      </c>
      <c r="F136" s="1">
        <v>45371</v>
      </c>
      <c r="G136" t="s">
        <v>624</v>
      </c>
      <c r="H136" s="2">
        <v>752.42</v>
      </c>
      <c r="I136" t="s">
        <v>25</v>
      </c>
      <c r="J136" t="s">
        <v>36</v>
      </c>
      <c r="K136" t="s">
        <v>16</v>
      </c>
    </row>
    <row r="137" spans="1:11" x14ac:dyDescent="0.25">
      <c r="A137" t="s">
        <v>421</v>
      </c>
      <c r="B137" t="s">
        <v>336</v>
      </c>
      <c r="C137" t="s">
        <v>422</v>
      </c>
      <c r="D137">
        <v>722114878</v>
      </c>
      <c r="E137" t="s">
        <v>9</v>
      </c>
      <c r="F137" s="1">
        <v>45500</v>
      </c>
      <c r="G137" t="s">
        <v>423</v>
      </c>
      <c r="H137" s="2">
        <v>602.04</v>
      </c>
      <c r="I137" t="s">
        <v>25</v>
      </c>
      <c r="J137" t="s">
        <v>11</v>
      </c>
      <c r="K137" t="s">
        <v>16</v>
      </c>
    </row>
    <row r="138" spans="1:11" x14ac:dyDescent="0.25">
      <c r="A138" t="s">
        <v>679</v>
      </c>
      <c r="B138" t="s">
        <v>194</v>
      </c>
      <c r="C138" t="s">
        <v>680</v>
      </c>
      <c r="D138">
        <v>713186177</v>
      </c>
      <c r="E138" t="s">
        <v>18</v>
      </c>
      <c r="F138" s="1">
        <v>45634</v>
      </c>
      <c r="G138" t="s">
        <v>418</v>
      </c>
      <c r="H138" s="2">
        <v>722.91</v>
      </c>
      <c r="I138" t="s">
        <v>25</v>
      </c>
      <c r="J138" t="s">
        <v>36</v>
      </c>
      <c r="K138" t="s">
        <v>16</v>
      </c>
    </row>
    <row r="139" spans="1:11" x14ac:dyDescent="0.25">
      <c r="A139" t="s">
        <v>681</v>
      </c>
      <c r="B139" t="s">
        <v>138</v>
      </c>
      <c r="C139" t="s">
        <v>682</v>
      </c>
      <c r="D139">
        <v>746643710</v>
      </c>
      <c r="E139" t="s">
        <v>13</v>
      </c>
      <c r="F139" s="1">
        <v>45850</v>
      </c>
      <c r="G139" t="s">
        <v>478</v>
      </c>
      <c r="H139" s="2">
        <v>1239.06</v>
      </c>
      <c r="I139" t="s">
        <v>25</v>
      </c>
      <c r="J139" t="s">
        <v>26</v>
      </c>
      <c r="K139" t="s">
        <v>16</v>
      </c>
    </row>
    <row r="140" spans="1:11" x14ac:dyDescent="0.25">
      <c r="A140" t="s">
        <v>683</v>
      </c>
      <c r="B140" t="s">
        <v>142</v>
      </c>
      <c r="C140" t="s">
        <v>684</v>
      </c>
      <c r="D140">
        <v>722621294</v>
      </c>
      <c r="E140" t="s">
        <v>9</v>
      </c>
      <c r="F140" s="1">
        <v>45761</v>
      </c>
      <c r="G140" t="s">
        <v>418</v>
      </c>
      <c r="H140" s="2">
        <v>1473.51</v>
      </c>
      <c r="I140" t="s">
        <v>25</v>
      </c>
      <c r="J140" t="s">
        <v>11</v>
      </c>
      <c r="K140" t="s">
        <v>16</v>
      </c>
    </row>
    <row r="141" spans="1:11" x14ac:dyDescent="0.25">
      <c r="A141" t="s">
        <v>685</v>
      </c>
      <c r="B141" t="s">
        <v>342</v>
      </c>
      <c r="C141" t="s">
        <v>686</v>
      </c>
      <c r="D141">
        <v>718300332</v>
      </c>
      <c r="E141" t="s">
        <v>9</v>
      </c>
      <c r="F141" s="1">
        <v>45601</v>
      </c>
      <c r="G141" t="s">
        <v>423</v>
      </c>
      <c r="H141" s="2">
        <v>948.4</v>
      </c>
      <c r="I141" t="s">
        <v>25</v>
      </c>
      <c r="J141" t="s">
        <v>22</v>
      </c>
      <c r="K141" t="s">
        <v>12</v>
      </c>
    </row>
    <row r="142" spans="1:11" x14ac:dyDescent="0.25">
      <c r="A142" t="s">
        <v>687</v>
      </c>
      <c r="B142" t="s">
        <v>398</v>
      </c>
      <c r="C142" t="s">
        <v>688</v>
      </c>
      <c r="D142">
        <v>712704910</v>
      </c>
      <c r="E142" t="s">
        <v>9</v>
      </c>
      <c r="F142" s="1">
        <v>45459</v>
      </c>
      <c r="G142" t="s">
        <v>460</v>
      </c>
      <c r="H142" s="2">
        <v>83.53</v>
      </c>
      <c r="I142" t="s">
        <v>25</v>
      </c>
      <c r="J142" t="s">
        <v>22</v>
      </c>
      <c r="K142" t="s">
        <v>12</v>
      </c>
    </row>
    <row r="143" spans="1:11" x14ac:dyDescent="0.25">
      <c r="A143" t="s">
        <v>689</v>
      </c>
      <c r="B143" t="s">
        <v>402</v>
      </c>
      <c r="C143" t="s">
        <v>690</v>
      </c>
      <c r="D143">
        <v>710265150</v>
      </c>
      <c r="E143" t="s">
        <v>18</v>
      </c>
      <c r="F143" s="1">
        <v>45909</v>
      </c>
      <c r="G143" t="s">
        <v>24</v>
      </c>
      <c r="H143" s="2">
        <v>1277.52</v>
      </c>
      <c r="I143" t="s">
        <v>507</v>
      </c>
      <c r="J143" t="s">
        <v>15</v>
      </c>
      <c r="K143" t="s">
        <v>16</v>
      </c>
    </row>
    <row r="144" spans="1:11" x14ac:dyDescent="0.25">
      <c r="A144" t="s">
        <v>656</v>
      </c>
      <c r="B144" t="s">
        <v>110</v>
      </c>
      <c r="C144" t="s">
        <v>657</v>
      </c>
      <c r="D144">
        <v>735500587</v>
      </c>
      <c r="E144" t="s">
        <v>18</v>
      </c>
      <c r="F144" s="1">
        <v>45731</v>
      </c>
      <c r="G144" t="s">
        <v>32</v>
      </c>
      <c r="H144" s="2">
        <v>1587.15</v>
      </c>
      <c r="I144" t="s">
        <v>444</v>
      </c>
      <c r="J144" t="s">
        <v>36</v>
      </c>
      <c r="K144" t="s">
        <v>16</v>
      </c>
    </row>
    <row r="145" spans="1:11" x14ac:dyDescent="0.25">
      <c r="A145" t="s">
        <v>691</v>
      </c>
      <c r="B145" t="s">
        <v>361</v>
      </c>
      <c r="C145" t="s">
        <v>692</v>
      </c>
      <c r="D145">
        <v>653146228</v>
      </c>
      <c r="E145" t="s">
        <v>18</v>
      </c>
      <c r="F145" s="1">
        <v>45783</v>
      </c>
      <c r="G145" t="s">
        <v>460</v>
      </c>
      <c r="H145" s="2">
        <v>1061.52</v>
      </c>
      <c r="I145" t="s">
        <v>25</v>
      </c>
      <c r="J145" t="s">
        <v>11</v>
      </c>
      <c r="K145" t="s">
        <v>16</v>
      </c>
    </row>
    <row r="146" spans="1:11" x14ac:dyDescent="0.25">
      <c r="A146" t="s">
        <v>677</v>
      </c>
      <c r="B146" t="s">
        <v>161</v>
      </c>
      <c r="C146" t="s">
        <v>678</v>
      </c>
      <c r="D146">
        <v>911729847</v>
      </c>
      <c r="E146" t="s">
        <v>18</v>
      </c>
      <c r="F146" s="1">
        <v>45816</v>
      </c>
      <c r="G146" t="s">
        <v>624</v>
      </c>
      <c r="H146" s="2">
        <v>1537.73</v>
      </c>
      <c r="I146" t="s">
        <v>25</v>
      </c>
      <c r="J146" t="s">
        <v>36</v>
      </c>
      <c r="K146" t="s">
        <v>12</v>
      </c>
    </row>
    <row r="147" spans="1:11" x14ac:dyDescent="0.25">
      <c r="A147" t="s">
        <v>658</v>
      </c>
      <c r="B147" t="s">
        <v>222</v>
      </c>
      <c r="C147" t="s">
        <v>659</v>
      </c>
      <c r="D147">
        <v>682341936</v>
      </c>
      <c r="E147" t="s">
        <v>9</v>
      </c>
      <c r="F147" s="1">
        <v>45726</v>
      </c>
      <c r="G147" t="s">
        <v>415</v>
      </c>
      <c r="H147" s="2">
        <v>77.98</v>
      </c>
      <c r="I147" t="s">
        <v>25</v>
      </c>
      <c r="J147" t="s">
        <v>33</v>
      </c>
      <c r="K147" t="s">
        <v>16</v>
      </c>
    </row>
    <row r="148" spans="1:11" x14ac:dyDescent="0.25">
      <c r="A148" t="s">
        <v>557</v>
      </c>
      <c r="B148" t="s">
        <v>558</v>
      </c>
      <c r="C148" t="s">
        <v>559</v>
      </c>
      <c r="D148">
        <v>719919620</v>
      </c>
      <c r="E148" t="s">
        <v>9</v>
      </c>
      <c r="F148" s="1">
        <v>45304</v>
      </c>
      <c r="G148" t="s">
        <v>478</v>
      </c>
      <c r="H148" s="2">
        <v>1976.23</v>
      </c>
      <c r="I148" t="s">
        <v>25</v>
      </c>
      <c r="J148" t="s">
        <v>22</v>
      </c>
      <c r="K148" t="s">
        <v>12</v>
      </c>
    </row>
    <row r="149" spans="1:11" x14ac:dyDescent="0.25">
      <c r="A149" t="s">
        <v>693</v>
      </c>
      <c r="B149" t="s">
        <v>239</v>
      </c>
      <c r="C149" t="s">
        <v>694</v>
      </c>
      <c r="D149">
        <v>941385528</v>
      </c>
      <c r="E149" t="s">
        <v>13</v>
      </c>
      <c r="F149" s="1">
        <v>45579</v>
      </c>
      <c r="G149" t="s">
        <v>19</v>
      </c>
      <c r="H149" s="2">
        <v>765.78</v>
      </c>
      <c r="I149" t="s">
        <v>25</v>
      </c>
      <c r="J149" t="s">
        <v>33</v>
      </c>
      <c r="K149" t="s">
        <v>12</v>
      </c>
    </row>
    <row r="150" spans="1:11" x14ac:dyDescent="0.25">
      <c r="A150" t="s">
        <v>695</v>
      </c>
      <c r="B150" t="s">
        <v>399</v>
      </c>
      <c r="C150" t="s">
        <v>696</v>
      </c>
      <c r="D150">
        <v>714072413</v>
      </c>
      <c r="E150" t="s">
        <v>18</v>
      </c>
      <c r="F150" s="1">
        <v>45789</v>
      </c>
      <c r="G150" t="s">
        <v>478</v>
      </c>
      <c r="H150" s="2">
        <v>1757.4</v>
      </c>
      <c r="I150" t="s">
        <v>444</v>
      </c>
      <c r="J150" t="s">
        <v>36</v>
      </c>
      <c r="K150" t="s">
        <v>12</v>
      </c>
    </row>
    <row r="151" spans="1:11" x14ac:dyDescent="0.25">
      <c r="A151" t="s">
        <v>697</v>
      </c>
      <c r="B151" t="s">
        <v>293</v>
      </c>
      <c r="C151" t="s">
        <v>698</v>
      </c>
      <c r="D151">
        <v>704058112</v>
      </c>
      <c r="E151" t="s">
        <v>18</v>
      </c>
      <c r="F151" s="1">
        <v>45331</v>
      </c>
      <c r="G151" t="s">
        <v>412</v>
      </c>
      <c r="H151" s="2">
        <v>1284.46</v>
      </c>
      <c r="I151" t="s">
        <v>25</v>
      </c>
      <c r="J151" t="s">
        <v>11</v>
      </c>
      <c r="K151" t="s">
        <v>16</v>
      </c>
    </row>
    <row r="152" spans="1:11" x14ac:dyDescent="0.25">
      <c r="A152" t="s">
        <v>699</v>
      </c>
      <c r="B152" t="s">
        <v>167</v>
      </c>
      <c r="C152" t="s">
        <v>700</v>
      </c>
      <c r="D152">
        <v>734216317</v>
      </c>
      <c r="E152" t="s">
        <v>9</v>
      </c>
      <c r="F152" s="1">
        <v>45870</v>
      </c>
      <c r="G152" t="s">
        <v>475</v>
      </c>
      <c r="H152" s="2">
        <v>1026.6199999999999</v>
      </c>
      <c r="I152" t="s">
        <v>25</v>
      </c>
      <c r="J152" t="s">
        <v>11</v>
      </c>
      <c r="K152" t="s">
        <v>12</v>
      </c>
    </row>
    <row r="153" spans="1:11" x14ac:dyDescent="0.25">
      <c r="A153" t="s">
        <v>490</v>
      </c>
      <c r="B153" t="s">
        <v>394</v>
      </c>
      <c r="C153" t="s">
        <v>491</v>
      </c>
      <c r="D153">
        <v>806812397</v>
      </c>
      <c r="E153" t="s">
        <v>18</v>
      </c>
      <c r="F153" s="1">
        <v>45808</v>
      </c>
      <c r="G153" t="s">
        <v>415</v>
      </c>
      <c r="H153" s="2">
        <v>1698.27</v>
      </c>
      <c r="I153" t="s">
        <v>25</v>
      </c>
      <c r="J153" t="s">
        <v>26</v>
      </c>
      <c r="K153" t="s">
        <v>16</v>
      </c>
    </row>
    <row r="154" spans="1:11" x14ac:dyDescent="0.25">
      <c r="A154" t="s">
        <v>701</v>
      </c>
      <c r="B154" t="s">
        <v>340</v>
      </c>
      <c r="C154" t="s">
        <v>702</v>
      </c>
      <c r="D154">
        <v>633388134</v>
      </c>
      <c r="E154" t="s">
        <v>9</v>
      </c>
      <c r="F154" s="1">
        <v>45789</v>
      </c>
      <c r="G154" t="s">
        <v>518</v>
      </c>
      <c r="H154" s="2">
        <v>1758.44</v>
      </c>
      <c r="I154" t="s">
        <v>25</v>
      </c>
      <c r="J154" t="s">
        <v>22</v>
      </c>
      <c r="K154" t="s">
        <v>12</v>
      </c>
    </row>
    <row r="155" spans="1:11" x14ac:dyDescent="0.25">
      <c r="A155" t="s">
        <v>703</v>
      </c>
      <c r="B155" t="s">
        <v>196</v>
      </c>
      <c r="C155" t="s">
        <v>704</v>
      </c>
      <c r="D155">
        <v>713699779</v>
      </c>
      <c r="E155" t="s">
        <v>9</v>
      </c>
      <c r="F155" s="1">
        <v>45429</v>
      </c>
      <c r="G155" t="s">
        <v>47</v>
      </c>
      <c r="H155" s="2">
        <v>1638.48</v>
      </c>
      <c r="I155" t="s">
        <v>25</v>
      </c>
      <c r="J155" t="s">
        <v>33</v>
      </c>
      <c r="K155" t="s">
        <v>12</v>
      </c>
    </row>
    <row r="156" spans="1:11" x14ac:dyDescent="0.25">
      <c r="A156" t="s">
        <v>705</v>
      </c>
      <c r="B156" t="s">
        <v>165</v>
      </c>
      <c r="C156" t="s">
        <v>706</v>
      </c>
      <c r="D156">
        <v>992824041</v>
      </c>
      <c r="E156" t="s">
        <v>13</v>
      </c>
      <c r="F156" s="1">
        <v>45195</v>
      </c>
      <c r="G156" t="s">
        <v>29</v>
      </c>
      <c r="H156" s="2">
        <v>105.11</v>
      </c>
      <c r="I156" t="s">
        <v>25</v>
      </c>
      <c r="J156" t="s">
        <v>11</v>
      </c>
      <c r="K156" t="s">
        <v>12</v>
      </c>
    </row>
    <row r="157" spans="1:11" x14ac:dyDescent="0.25">
      <c r="A157" t="s">
        <v>707</v>
      </c>
      <c r="B157" t="s">
        <v>143</v>
      </c>
      <c r="C157" t="s">
        <v>708</v>
      </c>
      <c r="D157">
        <v>813178789</v>
      </c>
      <c r="E157" t="s">
        <v>18</v>
      </c>
      <c r="F157" s="1">
        <v>45583</v>
      </c>
      <c r="G157" t="s">
        <v>440</v>
      </c>
      <c r="H157" s="2">
        <v>812.23</v>
      </c>
      <c r="I157" t="s">
        <v>25</v>
      </c>
      <c r="J157" t="s">
        <v>36</v>
      </c>
      <c r="K157" t="s">
        <v>16</v>
      </c>
    </row>
    <row r="158" spans="1:11" x14ac:dyDescent="0.25">
      <c r="A158" t="s">
        <v>664</v>
      </c>
      <c r="B158" t="s">
        <v>80</v>
      </c>
      <c r="C158" t="s">
        <v>665</v>
      </c>
      <c r="D158">
        <v>622023254</v>
      </c>
      <c r="E158" t="s">
        <v>9</v>
      </c>
      <c r="F158" s="1">
        <v>45774</v>
      </c>
      <c r="G158" t="s">
        <v>32</v>
      </c>
      <c r="H158" s="2">
        <v>777.39</v>
      </c>
      <c r="I158" t="s">
        <v>25</v>
      </c>
      <c r="J158" t="s">
        <v>33</v>
      </c>
      <c r="K158" t="s">
        <v>12</v>
      </c>
    </row>
    <row r="159" spans="1:11" x14ac:dyDescent="0.25">
      <c r="A159" t="s">
        <v>709</v>
      </c>
      <c r="B159" t="s">
        <v>57</v>
      </c>
      <c r="C159" t="s">
        <v>710</v>
      </c>
      <c r="D159">
        <v>744459838</v>
      </c>
      <c r="E159" t="s">
        <v>9</v>
      </c>
      <c r="F159" s="1">
        <v>45456</v>
      </c>
      <c r="G159" t="s">
        <v>443</v>
      </c>
      <c r="H159" s="2">
        <v>765.45</v>
      </c>
      <c r="I159" t="s">
        <v>25</v>
      </c>
      <c r="J159" t="s">
        <v>33</v>
      </c>
      <c r="K159" t="s">
        <v>16</v>
      </c>
    </row>
    <row r="160" spans="1:11" x14ac:dyDescent="0.25">
      <c r="A160" t="s">
        <v>711</v>
      </c>
      <c r="B160" t="s">
        <v>310</v>
      </c>
      <c r="C160" t="s">
        <v>712</v>
      </c>
      <c r="D160">
        <v>714356417</v>
      </c>
      <c r="E160" t="s">
        <v>9</v>
      </c>
      <c r="F160" s="1">
        <v>45431</v>
      </c>
      <c r="G160" t="s">
        <v>19</v>
      </c>
      <c r="H160" s="2">
        <v>804.5</v>
      </c>
      <c r="I160" t="s">
        <v>25</v>
      </c>
      <c r="J160" t="s">
        <v>22</v>
      </c>
      <c r="K160" t="s">
        <v>16</v>
      </c>
    </row>
    <row r="161" spans="1:11" x14ac:dyDescent="0.25">
      <c r="A161" t="s">
        <v>612</v>
      </c>
      <c r="B161" t="s">
        <v>308</v>
      </c>
      <c r="C161" t="s">
        <v>613</v>
      </c>
      <c r="D161">
        <v>702654485</v>
      </c>
      <c r="E161" t="s">
        <v>9</v>
      </c>
      <c r="F161" s="1">
        <v>45663</v>
      </c>
      <c r="G161" t="s">
        <v>418</v>
      </c>
      <c r="H161" s="2">
        <v>210.89</v>
      </c>
      <c r="I161" t="s">
        <v>25</v>
      </c>
      <c r="J161" t="s">
        <v>36</v>
      </c>
      <c r="K161" t="s">
        <v>16</v>
      </c>
    </row>
    <row r="162" spans="1:11" x14ac:dyDescent="0.25">
      <c r="A162" t="s">
        <v>713</v>
      </c>
      <c r="B162" t="s">
        <v>82</v>
      </c>
      <c r="C162" t="s">
        <v>714</v>
      </c>
      <c r="D162">
        <v>708352673</v>
      </c>
      <c r="E162" t="s">
        <v>9</v>
      </c>
      <c r="F162" s="1">
        <v>45318</v>
      </c>
      <c r="G162" t="s">
        <v>14</v>
      </c>
      <c r="H162" s="2">
        <v>716.41</v>
      </c>
      <c r="I162" t="s">
        <v>25</v>
      </c>
      <c r="J162" t="s">
        <v>33</v>
      </c>
      <c r="K162" t="s">
        <v>12</v>
      </c>
    </row>
    <row r="163" spans="1:11" x14ac:dyDescent="0.25">
      <c r="A163" t="s">
        <v>715</v>
      </c>
      <c r="B163" t="s">
        <v>202</v>
      </c>
      <c r="C163" t="s">
        <v>716</v>
      </c>
      <c r="D163">
        <v>652976786</v>
      </c>
      <c r="E163" t="s">
        <v>18</v>
      </c>
      <c r="F163" s="1">
        <v>45289</v>
      </c>
      <c r="G163" t="s">
        <v>443</v>
      </c>
      <c r="H163" s="2">
        <v>596.66999999999996</v>
      </c>
      <c r="I163" t="s">
        <v>25</v>
      </c>
      <c r="J163" t="s">
        <v>33</v>
      </c>
      <c r="K163" t="s">
        <v>12</v>
      </c>
    </row>
    <row r="164" spans="1:11" x14ac:dyDescent="0.25">
      <c r="A164" t="s">
        <v>717</v>
      </c>
      <c r="B164" t="s">
        <v>208</v>
      </c>
      <c r="C164" t="s">
        <v>718</v>
      </c>
      <c r="D164">
        <v>723570924</v>
      </c>
      <c r="E164" t="s">
        <v>9</v>
      </c>
      <c r="F164" s="1">
        <v>45632</v>
      </c>
      <c r="G164" t="s">
        <v>506</v>
      </c>
      <c r="H164" s="2">
        <v>547.66999999999996</v>
      </c>
      <c r="I164" t="s">
        <v>25</v>
      </c>
      <c r="J164" t="s">
        <v>22</v>
      </c>
      <c r="K164" t="s">
        <v>16</v>
      </c>
    </row>
    <row r="165" spans="1:11" x14ac:dyDescent="0.25">
      <c r="A165" t="s">
        <v>719</v>
      </c>
      <c r="B165" t="s">
        <v>190</v>
      </c>
      <c r="C165" t="s">
        <v>720</v>
      </c>
      <c r="D165">
        <v>742193948</v>
      </c>
      <c r="E165" t="s">
        <v>9</v>
      </c>
      <c r="F165" s="1">
        <v>45298</v>
      </c>
      <c r="G165" t="s">
        <v>24</v>
      </c>
      <c r="H165" s="2">
        <v>905.47</v>
      </c>
      <c r="I165" t="s">
        <v>444</v>
      </c>
      <c r="J165" t="s">
        <v>22</v>
      </c>
      <c r="K165" t="s">
        <v>12</v>
      </c>
    </row>
    <row r="166" spans="1:11" x14ac:dyDescent="0.25">
      <c r="A166" t="s">
        <v>721</v>
      </c>
      <c r="B166" t="s">
        <v>394</v>
      </c>
      <c r="C166" t="s">
        <v>722</v>
      </c>
      <c r="D166">
        <v>745405673</v>
      </c>
      <c r="E166" t="s">
        <v>18</v>
      </c>
      <c r="F166" s="1">
        <v>45582</v>
      </c>
      <c r="G166" t="s">
        <v>32</v>
      </c>
      <c r="H166" s="2">
        <v>19.489999999999998</v>
      </c>
      <c r="I166" t="s">
        <v>25</v>
      </c>
      <c r="J166" t="s">
        <v>26</v>
      </c>
      <c r="K166" t="s">
        <v>12</v>
      </c>
    </row>
    <row r="167" spans="1:11" x14ac:dyDescent="0.25">
      <c r="A167" t="s">
        <v>723</v>
      </c>
      <c r="B167" t="s">
        <v>63</v>
      </c>
      <c r="C167" t="s">
        <v>724</v>
      </c>
      <c r="D167">
        <v>819517980</v>
      </c>
      <c r="E167" t="s">
        <v>13</v>
      </c>
      <c r="F167" s="1">
        <v>45376</v>
      </c>
      <c r="G167" t="s">
        <v>423</v>
      </c>
      <c r="H167" s="2">
        <v>1633.45</v>
      </c>
      <c r="I167" t="s">
        <v>25</v>
      </c>
      <c r="J167" t="s">
        <v>33</v>
      </c>
      <c r="K167" t="s">
        <v>16</v>
      </c>
    </row>
    <row r="168" spans="1:11" x14ac:dyDescent="0.25">
      <c r="A168" t="s">
        <v>725</v>
      </c>
      <c r="B168" t="s">
        <v>145</v>
      </c>
      <c r="C168" t="s">
        <v>726</v>
      </c>
      <c r="D168">
        <v>735567153</v>
      </c>
      <c r="E168" t="s">
        <v>9</v>
      </c>
      <c r="F168" s="1">
        <v>45216</v>
      </c>
      <c r="G168" t="s">
        <v>460</v>
      </c>
      <c r="H168" s="2">
        <v>1835.66</v>
      </c>
      <c r="I168" t="s">
        <v>25</v>
      </c>
      <c r="J168" t="s">
        <v>33</v>
      </c>
      <c r="K168" t="s">
        <v>12</v>
      </c>
    </row>
    <row r="169" spans="1:11" x14ac:dyDescent="0.25">
      <c r="A169" t="s">
        <v>727</v>
      </c>
      <c r="B169" t="s">
        <v>365</v>
      </c>
      <c r="C169" t="s">
        <v>728</v>
      </c>
      <c r="D169">
        <v>720179790</v>
      </c>
      <c r="E169" t="s">
        <v>9</v>
      </c>
      <c r="F169" s="1">
        <v>45511</v>
      </c>
      <c r="G169" t="s">
        <v>443</v>
      </c>
      <c r="H169" s="2">
        <v>1237.25</v>
      </c>
      <c r="I169" t="s">
        <v>25</v>
      </c>
      <c r="J169" t="s">
        <v>22</v>
      </c>
      <c r="K169" t="s">
        <v>12</v>
      </c>
    </row>
    <row r="170" spans="1:11" x14ac:dyDescent="0.25">
      <c r="A170" t="s">
        <v>729</v>
      </c>
      <c r="B170" t="s">
        <v>119</v>
      </c>
      <c r="C170" t="s">
        <v>730</v>
      </c>
      <c r="D170">
        <v>745350274</v>
      </c>
      <c r="E170" t="s">
        <v>18</v>
      </c>
      <c r="F170" s="1">
        <v>45462</v>
      </c>
      <c r="G170" t="s">
        <v>47</v>
      </c>
      <c r="H170" s="2">
        <v>1832.59</v>
      </c>
      <c r="I170" t="s">
        <v>25</v>
      </c>
      <c r="J170" t="s">
        <v>36</v>
      </c>
      <c r="K170" t="s">
        <v>12</v>
      </c>
    </row>
    <row r="171" spans="1:11" x14ac:dyDescent="0.25">
      <c r="A171" t="s">
        <v>731</v>
      </c>
      <c r="B171" t="s">
        <v>65</v>
      </c>
      <c r="C171" t="s">
        <v>732</v>
      </c>
      <c r="D171">
        <v>719409141</v>
      </c>
      <c r="E171" t="s">
        <v>18</v>
      </c>
      <c r="F171" s="1">
        <v>45499</v>
      </c>
      <c r="G171" t="s">
        <v>39</v>
      </c>
      <c r="H171" s="2">
        <v>1531.31</v>
      </c>
      <c r="I171" t="s">
        <v>25</v>
      </c>
      <c r="J171" t="s">
        <v>11</v>
      </c>
      <c r="K171" t="s">
        <v>12</v>
      </c>
    </row>
    <row r="172" spans="1:11" x14ac:dyDescent="0.25">
      <c r="A172" t="s">
        <v>733</v>
      </c>
      <c r="B172" t="s">
        <v>228</v>
      </c>
      <c r="C172" t="s">
        <v>734</v>
      </c>
      <c r="D172">
        <v>702416899</v>
      </c>
      <c r="E172" t="s">
        <v>18</v>
      </c>
      <c r="F172" s="1">
        <v>45183</v>
      </c>
      <c r="G172" t="s">
        <v>415</v>
      </c>
      <c r="H172" s="2">
        <v>249.93</v>
      </c>
      <c r="I172" t="s">
        <v>444</v>
      </c>
      <c r="J172" t="s">
        <v>11</v>
      </c>
      <c r="K172" t="s">
        <v>12</v>
      </c>
    </row>
    <row r="173" spans="1:11" x14ac:dyDescent="0.25">
      <c r="A173" t="s">
        <v>461</v>
      </c>
      <c r="B173" t="s">
        <v>357</v>
      </c>
      <c r="C173" t="s">
        <v>462</v>
      </c>
      <c r="D173">
        <v>611493591</v>
      </c>
      <c r="E173" t="s">
        <v>18</v>
      </c>
      <c r="F173" s="1">
        <v>45387</v>
      </c>
      <c r="G173" t="s">
        <v>451</v>
      </c>
      <c r="H173" s="2">
        <v>1625.76</v>
      </c>
      <c r="I173" t="s">
        <v>507</v>
      </c>
      <c r="J173" t="s">
        <v>26</v>
      </c>
      <c r="K173" t="s">
        <v>12</v>
      </c>
    </row>
    <row r="174" spans="1:11" x14ac:dyDescent="0.25">
      <c r="A174" t="s">
        <v>735</v>
      </c>
      <c r="B174" t="s">
        <v>55</v>
      </c>
      <c r="C174" t="s">
        <v>736</v>
      </c>
      <c r="D174">
        <v>724968308</v>
      </c>
      <c r="E174" t="s">
        <v>9</v>
      </c>
      <c r="F174" s="1">
        <v>45907</v>
      </c>
      <c r="G174" t="s">
        <v>415</v>
      </c>
      <c r="H174" s="2">
        <v>954.59</v>
      </c>
      <c r="I174" t="s">
        <v>25</v>
      </c>
      <c r="J174" t="s">
        <v>26</v>
      </c>
      <c r="K174" t="s">
        <v>12</v>
      </c>
    </row>
    <row r="175" spans="1:11" x14ac:dyDescent="0.25">
      <c r="A175" t="s">
        <v>737</v>
      </c>
      <c r="B175" t="s">
        <v>80</v>
      </c>
      <c r="C175" t="s">
        <v>738</v>
      </c>
      <c r="D175">
        <v>860807644</v>
      </c>
      <c r="E175" t="s">
        <v>9</v>
      </c>
      <c r="F175" s="1">
        <v>45700</v>
      </c>
      <c r="G175" t="s">
        <v>440</v>
      </c>
      <c r="H175" s="2">
        <v>254.77</v>
      </c>
      <c r="I175" t="s">
        <v>25</v>
      </c>
      <c r="J175" t="s">
        <v>36</v>
      </c>
      <c r="K175" t="s">
        <v>16</v>
      </c>
    </row>
    <row r="176" spans="1:11" x14ac:dyDescent="0.25">
      <c r="A176" t="s">
        <v>658</v>
      </c>
      <c r="B176" t="s">
        <v>222</v>
      </c>
      <c r="C176" t="s">
        <v>659</v>
      </c>
      <c r="D176">
        <v>682341936</v>
      </c>
      <c r="E176" t="s">
        <v>9</v>
      </c>
      <c r="F176" s="1">
        <v>45684</v>
      </c>
      <c r="G176" t="s">
        <v>415</v>
      </c>
      <c r="H176" s="2">
        <v>724.23</v>
      </c>
      <c r="I176" t="s">
        <v>25</v>
      </c>
      <c r="J176" t="s">
        <v>22</v>
      </c>
      <c r="K176" t="s">
        <v>16</v>
      </c>
    </row>
    <row r="177" spans="1:11" x14ac:dyDescent="0.25">
      <c r="A177" t="s">
        <v>739</v>
      </c>
      <c r="B177" t="s">
        <v>147</v>
      </c>
      <c r="C177" t="s">
        <v>740</v>
      </c>
      <c r="D177">
        <v>732688394</v>
      </c>
      <c r="E177" t="s">
        <v>9</v>
      </c>
      <c r="F177" s="1">
        <v>45410</v>
      </c>
      <c r="G177" t="s">
        <v>10</v>
      </c>
      <c r="H177" s="2">
        <v>1534.3</v>
      </c>
      <c r="I177" t="s">
        <v>25</v>
      </c>
      <c r="J177" t="s">
        <v>22</v>
      </c>
      <c r="K177" t="s">
        <v>12</v>
      </c>
    </row>
    <row r="178" spans="1:11" x14ac:dyDescent="0.25">
      <c r="A178" t="s">
        <v>741</v>
      </c>
      <c r="B178" t="s">
        <v>99</v>
      </c>
      <c r="C178" t="s">
        <v>742</v>
      </c>
      <c r="D178">
        <v>958161330</v>
      </c>
      <c r="E178" t="s">
        <v>13</v>
      </c>
      <c r="F178" s="1">
        <v>45283</v>
      </c>
      <c r="G178" t="s">
        <v>35</v>
      </c>
      <c r="H178" s="2">
        <v>602.07000000000005</v>
      </c>
      <c r="I178" t="s">
        <v>25</v>
      </c>
      <c r="J178" t="s">
        <v>11</v>
      </c>
      <c r="K178" t="s">
        <v>12</v>
      </c>
    </row>
    <row r="179" spans="1:11" x14ac:dyDescent="0.25">
      <c r="A179" t="s">
        <v>743</v>
      </c>
      <c r="B179" t="s">
        <v>48</v>
      </c>
      <c r="C179" t="s">
        <v>744</v>
      </c>
      <c r="D179">
        <v>951388515</v>
      </c>
      <c r="E179" t="s">
        <v>9</v>
      </c>
      <c r="F179" s="1">
        <v>45287</v>
      </c>
      <c r="G179" t="s">
        <v>451</v>
      </c>
      <c r="H179" s="2">
        <v>1490.02</v>
      </c>
      <c r="I179" t="s">
        <v>444</v>
      </c>
      <c r="J179" t="s">
        <v>36</v>
      </c>
      <c r="K179" t="s">
        <v>16</v>
      </c>
    </row>
    <row r="180" spans="1:11" x14ac:dyDescent="0.25">
      <c r="A180" t="s">
        <v>671</v>
      </c>
      <c r="B180" t="s">
        <v>204</v>
      </c>
      <c r="C180" t="s">
        <v>672</v>
      </c>
      <c r="D180">
        <v>717655927</v>
      </c>
      <c r="E180" t="s">
        <v>18</v>
      </c>
      <c r="F180" s="1">
        <v>45670</v>
      </c>
      <c r="G180" t="s">
        <v>624</v>
      </c>
      <c r="H180" s="2">
        <v>1510.46</v>
      </c>
      <c r="I180" t="s">
        <v>25</v>
      </c>
      <c r="J180" t="s">
        <v>11</v>
      </c>
      <c r="K180" t="s">
        <v>12</v>
      </c>
    </row>
    <row r="181" spans="1:11" x14ac:dyDescent="0.25">
      <c r="A181" t="s">
        <v>745</v>
      </c>
      <c r="B181" t="s">
        <v>289</v>
      </c>
      <c r="C181" t="s">
        <v>746</v>
      </c>
      <c r="D181">
        <v>719129176</v>
      </c>
      <c r="E181" t="s">
        <v>18</v>
      </c>
      <c r="F181" s="1">
        <v>45343</v>
      </c>
      <c r="G181" t="s">
        <v>21</v>
      </c>
      <c r="H181" s="2">
        <v>153.96</v>
      </c>
      <c r="I181" t="s">
        <v>25</v>
      </c>
      <c r="J181" t="s">
        <v>36</v>
      </c>
      <c r="K181" t="s">
        <v>16</v>
      </c>
    </row>
    <row r="182" spans="1:11" x14ac:dyDescent="0.25">
      <c r="A182" t="s">
        <v>747</v>
      </c>
      <c r="B182" t="s">
        <v>244</v>
      </c>
      <c r="C182" t="s">
        <v>748</v>
      </c>
      <c r="D182">
        <v>864373881</v>
      </c>
      <c r="E182" t="s">
        <v>13</v>
      </c>
      <c r="F182" s="1">
        <v>45298</v>
      </c>
      <c r="G182" t="s">
        <v>35</v>
      </c>
      <c r="H182" s="2">
        <v>615.75</v>
      </c>
      <c r="I182" t="s">
        <v>25</v>
      </c>
      <c r="J182" t="s">
        <v>11</v>
      </c>
      <c r="K182" t="s">
        <v>12</v>
      </c>
    </row>
    <row r="183" spans="1:11" x14ac:dyDescent="0.25">
      <c r="A183" t="s">
        <v>749</v>
      </c>
      <c r="B183" t="s">
        <v>750</v>
      </c>
      <c r="C183" t="s">
        <v>751</v>
      </c>
      <c r="D183">
        <v>703436635</v>
      </c>
      <c r="E183" t="s">
        <v>9</v>
      </c>
      <c r="F183" s="1">
        <v>45680</v>
      </c>
      <c r="G183" t="s">
        <v>506</v>
      </c>
      <c r="H183" s="2">
        <v>1665.82</v>
      </c>
      <c r="I183" t="s">
        <v>25</v>
      </c>
      <c r="J183" t="s">
        <v>36</v>
      </c>
      <c r="K183" t="s">
        <v>16</v>
      </c>
    </row>
    <row r="184" spans="1:11" x14ac:dyDescent="0.25">
      <c r="A184" t="s">
        <v>447</v>
      </c>
      <c r="B184" t="s">
        <v>207</v>
      </c>
      <c r="C184" t="s">
        <v>448</v>
      </c>
      <c r="D184">
        <v>870185749</v>
      </c>
      <c r="E184" t="s">
        <v>9</v>
      </c>
      <c r="F184" s="1">
        <v>45405</v>
      </c>
      <c r="G184" t="s">
        <v>418</v>
      </c>
      <c r="H184" s="2">
        <v>545.12</v>
      </c>
      <c r="I184" t="s">
        <v>25</v>
      </c>
      <c r="J184" t="s">
        <v>11</v>
      </c>
      <c r="K184" t="s">
        <v>12</v>
      </c>
    </row>
    <row r="185" spans="1:11" x14ac:dyDescent="0.25">
      <c r="A185" t="s">
        <v>421</v>
      </c>
      <c r="B185" t="s">
        <v>336</v>
      </c>
      <c r="C185" t="s">
        <v>422</v>
      </c>
      <c r="D185">
        <v>722114878</v>
      </c>
      <c r="E185" t="s">
        <v>9</v>
      </c>
      <c r="F185" s="1">
        <v>45792</v>
      </c>
      <c r="G185" t="s">
        <v>423</v>
      </c>
      <c r="H185" s="2">
        <v>1452.89</v>
      </c>
      <c r="I185" t="s">
        <v>25</v>
      </c>
      <c r="J185" t="s">
        <v>22</v>
      </c>
      <c r="K185" t="s">
        <v>12</v>
      </c>
    </row>
    <row r="186" spans="1:11" x14ac:dyDescent="0.25">
      <c r="A186" t="s">
        <v>752</v>
      </c>
      <c r="B186" t="s">
        <v>340</v>
      </c>
      <c r="C186" t="s">
        <v>753</v>
      </c>
      <c r="D186">
        <v>723183453</v>
      </c>
      <c r="E186" t="s">
        <v>13</v>
      </c>
      <c r="F186" s="1">
        <v>45826</v>
      </c>
      <c r="G186" t="s">
        <v>460</v>
      </c>
      <c r="H186" s="2">
        <v>1219.8699999999999</v>
      </c>
      <c r="I186" t="s">
        <v>25</v>
      </c>
      <c r="J186" t="s">
        <v>22</v>
      </c>
      <c r="K186" t="s">
        <v>12</v>
      </c>
    </row>
    <row r="187" spans="1:11" x14ac:dyDescent="0.25">
      <c r="A187" t="s">
        <v>754</v>
      </c>
      <c r="B187" t="s">
        <v>307</v>
      </c>
      <c r="C187" t="s">
        <v>755</v>
      </c>
      <c r="D187">
        <v>726605821</v>
      </c>
      <c r="E187" t="s">
        <v>18</v>
      </c>
      <c r="F187" s="1">
        <v>45546</v>
      </c>
      <c r="G187" t="s">
        <v>24</v>
      </c>
      <c r="H187" s="2">
        <v>1366.88</v>
      </c>
      <c r="I187" t="s">
        <v>25</v>
      </c>
      <c r="J187" t="s">
        <v>11</v>
      </c>
      <c r="K187" t="s">
        <v>16</v>
      </c>
    </row>
    <row r="188" spans="1:11" x14ac:dyDescent="0.25">
      <c r="A188" t="s">
        <v>756</v>
      </c>
      <c r="B188" t="s">
        <v>302</v>
      </c>
      <c r="C188" t="s">
        <v>757</v>
      </c>
      <c r="D188">
        <v>705473147</v>
      </c>
      <c r="E188" t="s">
        <v>9</v>
      </c>
      <c r="F188" s="1">
        <v>45404</v>
      </c>
      <c r="G188" t="s">
        <v>24</v>
      </c>
      <c r="H188" s="2">
        <v>1713.69</v>
      </c>
      <c r="I188" t="s">
        <v>444</v>
      </c>
      <c r="J188" t="s">
        <v>33</v>
      </c>
      <c r="K188" t="s">
        <v>16</v>
      </c>
    </row>
    <row r="189" spans="1:11" x14ac:dyDescent="0.25">
      <c r="A189" t="s">
        <v>758</v>
      </c>
      <c r="B189" t="s">
        <v>209</v>
      </c>
      <c r="C189" t="s">
        <v>759</v>
      </c>
      <c r="D189">
        <v>707823231</v>
      </c>
      <c r="E189" t="s">
        <v>13</v>
      </c>
      <c r="F189" s="1">
        <v>45600</v>
      </c>
      <c r="G189" t="s">
        <v>624</v>
      </c>
      <c r="H189" s="2">
        <v>460.69</v>
      </c>
      <c r="I189" t="s">
        <v>25</v>
      </c>
      <c r="J189" t="s">
        <v>22</v>
      </c>
      <c r="K189" t="s">
        <v>16</v>
      </c>
    </row>
    <row r="190" spans="1:11" x14ac:dyDescent="0.25">
      <c r="A190" t="s">
        <v>533</v>
      </c>
      <c r="B190" t="s">
        <v>77</v>
      </c>
      <c r="C190" t="s">
        <v>534</v>
      </c>
      <c r="D190">
        <v>743862708</v>
      </c>
      <c r="E190" t="s">
        <v>9</v>
      </c>
      <c r="F190" s="1">
        <v>45509</v>
      </c>
      <c r="G190" t="s">
        <v>443</v>
      </c>
      <c r="H190" s="2">
        <v>1390.43</v>
      </c>
      <c r="I190" t="s">
        <v>25</v>
      </c>
      <c r="J190" t="s">
        <v>11</v>
      </c>
      <c r="K190" t="s">
        <v>12</v>
      </c>
    </row>
    <row r="191" spans="1:11" x14ac:dyDescent="0.25">
      <c r="A191" t="s">
        <v>760</v>
      </c>
      <c r="B191" t="s">
        <v>761</v>
      </c>
      <c r="C191" t="s">
        <v>762</v>
      </c>
      <c r="D191">
        <v>693949039</v>
      </c>
      <c r="E191" t="s">
        <v>9</v>
      </c>
      <c r="F191" s="1">
        <v>45374</v>
      </c>
      <c r="G191" t="s">
        <v>47</v>
      </c>
      <c r="H191" s="2">
        <v>35.14</v>
      </c>
      <c r="I191" t="s">
        <v>25</v>
      </c>
      <c r="J191" t="s">
        <v>22</v>
      </c>
      <c r="K191" t="s">
        <v>12</v>
      </c>
    </row>
    <row r="192" spans="1:11" x14ac:dyDescent="0.25">
      <c r="A192" t="s">
        <v>763</v>
      </c>
      <c r="B192" t="s">
        <v>343</v>
      </c>
      <c r="C192" t="s">
        <v>764</v>
      </c>
      <c r="D192">
        <v>679029843</v>
      </c>
      <c r="E192" t="s">
        <v>13</v>
      </c>
      <c r="F192" s="1">
        <v>45497</v>
      </c>
      <c r="G192" t="s">
        <v>475</v>
      </c>
      <c r="H192" s="2">
        <v>1409.81</v>
      </c>
      <c r="I192" t="s">
        <v>507</v>
      </c>
      <c r="J192" t="s">
        <v>11</v>
      </c>
      <c r="K192" t="s">
        <v>12</v>
      </c>
    </row>
    <row r="193" spans="1:11" x14ac:dyDescent="0.25">
      <c r="A193" t="s">
        <v>765</v>
      </c>
      <c r="B193" t="s">
        <v>248</v>
      </c>
      <c r="C193" t="s">
        <v>766</v>
      </c>
      <c r="D193">
        <v>745695976</v>
      </c>
      <c r="E193" t="s">
        <v>9</v>
      </c>
      <c r="F193" s="1">
        <v>45323</v>
      </c>
      <c r="G193" t="s">
        <v>412</v>
      </c>
      <c r="H193" s="2">
        <v>696.81</v>
      </c>
      <c r="I193" t="s">
        <v>25</v>
      </c>
      <c r="J193" t="s">
        <v>22</v>
      </c>
      <c r="K193" t="s">
        <v>16</v>
      </c>
    </row>
    <row r="194" spans="1:11" x14ac:dyDescent="0.25">
      <c r="A194" t="s">
        <v>767</v>
      </c>
      <c r="B194" t="s">
        <v>114</v>
      </c>
      <c r="C194" t="s">
        <v>768</v>
      </c>
      <c r="D194">
        <v>730016083</v>
      </c>
      <c r="E194" t="s">
        <v>13</v>
      </c>
      <c r="F194" s="1">
        <v>45271</v>
      </c>
      <c r="G194" t="s">
        <v>460</v>
      </c>
      <c r="H194" s="2">
        <v>36.9</v>
      </c>
      <c r="I194" t="s">
        <v>25</v>
      </c>
      <c r="J194" t="s">
        <v>36</v>
      </c>
      <c r="K194" t="s">
        <v>16</v>
      </c>
    </row>
    <row r="195" spans="1:11" x14ac:dyDescent="0.25">
      <c r="A195" t="s">
        <v>769</v>
      </c>
      <c r="B195" t="s">
        <v>140</v>
      </c>
      <c r="C195" t="s">
        <v>770</v>
      </c>
      <c r="D195">
        <v>933609477</v>
      </c>
      <c r="E195" t="s">
        <v>9</v>
      </c>
      <c r="F195" s="1">
        <v>45631</v>
      </c>
      <c r="G195" t="s">
        <v>418</v>
      </c>
      <c r="H195" s="2">
        <v>1252.54</v>
      </c>
      <c r="I195" t="s">
        <v>25</v>
      </c>
      <c r="J195" t="s">
        <v>11</v>
      </c>
      <c r="K195" t="s">
        <v>12</v>
      </c>
    </row>
    <row r="196" spans="1:11" x14ac:dyDescent="0.25">
      <c r="A196" t="s">
        <v>438</v>
      </c>
      <c r="B196" t="s">
        <v>153</v>
      </c>
      <c r="C196" t="s">
        <v>439</v>
      </c>
      <c r="D196">
        <v>734311637</v>
      </c>
      <c r="E196" t="s">
        <v>9</v>
      </c>
      <c r="F196" s="1">
        <v>45762</v>
      </c>
      <c r="G196" t="s">
        <v>440</v>
      </c>
      <c r="H196" s="2">
        <v>805.28</v>
      </c>
      <c r="I196" t="s">
        <v>25</v>
      </c>
      <c r="J196" t="s">
        <v>33</v>
      </c>
      <c r="K196" t="s">
        <v>12</v>
      </c>
    </row>
    <row r="197" spans="1:11" x14ac:dyDescent="0.25">
      <c r="A197" t="s">
        <v>771</v>
      </c>
      <c r="B197" t="s">
        <v>772</v>
      </c>
      <c r="C197" t="s">
        <v>773</v>
      </c>
      <c r="D197">
        <v>612365010</v>
      </c>
      <c r="E197" t="s">
        <v>18</v>
      </c>
      <c r="F197" s="1">
        <v>45899</v>
      </c>
      <c r="G197" t="s">
        <v>624</v>
      </c>
      <c r="H197" s="2">
        <v>672.07</v>
      </c>
      <c r="I197" t="s">
        <v>25</v>
      </c>
      <c r="J197" t="s">
        <v>36</v>
      </c>
      <c r="K197" t="s">
        <v>16</v>
      </c>
    </row>
    <row r="198" spans="1:11" x14ac:dyDescent="0.25">
      <c r="A198" t="s">
        <v>774</v>
      </c>
      <c r="B198" t="s">
        <v>269</v>
      </c>
      <c r="C198" t="s">
        <v>775</v>
      </c>
      <c r="D198">
        <v>741006511</v>
      </c>
      <c r="E198" t="s">
        <v>9</v>
      </c>
      <c r="F198" s="1">
        <v>45877</v>
      </c>
      <c r="G198" t="s">
        <v>451</v>
      </c>
      <c r="H198" s="2">
        <v>388.89</v>
      </c>
      <c r="I198" t="s">
        <v>25</v>
      </c>
      <c r="J198" t="s">
        <v>15</v>
      </c>
      <c r="K198" t="s">
        <v>12</v>
      </c>
    </row>
    <row r="199" spans="1:11" x14ac:dyDescent="0.25">
      <c r="A199" t="s">
        <v>776</v>
      </c>
      <c r="B199" t="s">
        <v>200</v>
      </c>
      <c r="C199" t="s">
        <v>777</v>
      </c>
      <c r="D199">
        <v>727278182</v>
      </c>
      <c r="E199" t="s">
        <v>9</v>
      </c>
      <c r="F199" s="1">
        <v>45246</v>
      </c>
      <c r="G199" t="s">
        <v>603</v>
      </c>
      <c r="H199" s="2">
        <v>1890.77</v>
      </c>
      <c r="I199" t="s">
        <v>25</v>
      </c>
      <c r="J199" t="s">
        <v>15</v>
      </c>
      <c r="K199" t="s">
        <v>16</v>
      </c>
    </row>
    <row r="200" spans="1:11" x14ac:dyDescent="0.25">
      <c r="A200" t="s">
        <v>683</v>
      </c>
      <c r="B200" t="s">
        <v>142</v>
      </c>
      <c r="C200" t="s">
        <v>684</v>
      </c>
      <c r="D200">
        <v>722621294</v>
      </c>
      <c r="E200" t="s">
        <v>9</v>
      </c>
      <c r="F200" s="1">
        <v>45201</v>
      </c>
      <c r="G200" t="s">
        <v>418</v>
      </c>
      <c r="H200" s="2">
        <v>1968.34</v>
      </c>
      <c r="I200" t="s">
        <v>25</v>
      </c>
      <c r="J200" t="s">
        <v>11</v>
      </c>
      <c r="K200" t="s">
        <v>12</v>
      </c>
    </row>
    <row r="201" spans="1:11" x14ac:dyDescent="0.25">
      <c r="A201" t="s">
        <v>500</v>
      </c>
      <c r="B201" t="s">
        <v>158</v>
      </c>
      <c r="C201" t="s">
        <v>501</v>
      </c>
      <c r="D201">
        <v>700258650</v>
      </c>
      <c r="E201" t="s">
        <v>9</v>
      </c>
      <c r="F201" s="1">
        <v>45791</v>
      </c>
      <c r="G201" t="s">
        <v>412</v>
      </c>
      <c r="H201" s="2">
        <v>1557.54</v>
      </c>
      <c r="I201" t="s">
        <v>25</v>
      </c>
      <c r="J201" t="s">
        <v>11</v>
      </c>
      <c r="K201" t="s">
        <v>12</v>
      </c>
    </row>
    <row r="202" spans="1:11" x14ac:dyDescent="0.25">
      <c r="A202" t="s">
        <v>778</v>
      </c>
      <c r="B202" t="s">
        <v>162</v>
      </c>
      <c r="C202" t="s">
        <v>779</v>
      </c>
      <c r="D202">
        <v>859523189</v>
      </c>
      <c r="E202" t="s">
        <v>9</v>
      </c>
      <c r="F202" s="1">
        <v>45829</v>
      </c>
      <c r="G202" t="s">
        <v>19</v>
      </c>
      <c r="H202" s="2">
        <v>338.8</v>
      </c>
      <c r="I202" t="s">
        <v>25</v>
      </c>
      <c r="J202" t="s">
        <v>11</v>
      </c>
      <c r="K202" t="s">
        <v>12</v>
      </c>
    </row>
    <row r="203" spans="1:11" x14ac:dyDescent="0.25">
      <c r="A203" t="s">
        <v>430</v>
      </c>
      <c r="B203" t="s">
        <v>277</v>
      </c>
      <c r="C203" t="s">
        <v>431</v>
      </c>
      <c r="D203">
        <v>819579385</v>
      </c>
      <c r="E203" t="s">
        <v>9</v>
      </c>
      <c r="F203" s="1">
        <v>45184</v>
      </c>
      <c r="G203" t="s">
        <v>21</v>
      </c>
      <c r="H203" s="2">
        <v>445.08</v>
      </c>
      <c r="I203" t="s">
        <v>25</v>
      </c>
      <c r="J203" t="s">
        <v>33</v>
      </c>
      <c r="K203" t="s">
        <v>16</v>
      </c>
    </row>
    <row r="204" spans="1:11" x14ac:dyDescent="0.25">
      <c r="A204" t="s">
        <v>780</v>
      </c>
      <c r="B204" t="s">
        <v>205</v>
      </c>
      <c r="C204" t="s">
        <v>781</v>
      </c>
      <c r="D204">
        <v>710606110</v>
      </c>
      <c r="E204" t="s">
        <v>18</v>
      </c>
      <c r="F204" s="1">
        <v>45725</v>
      </c>
      <c r="G204" t="s">
        <v>21</v>
      </c>
      <c r="H204" s="2">
        <v>621.35</v>
      </c>
      <c r="I204" t="s">
        <v>444</v>
      </c>
      <c r="J204" t="s">
        <v>22</v>
      </c>
      <c r="K204" t="s">
        <v>16</v>
      </c>
    </row>
    <row r="205" spans="1:11" x14ac:dyDescent="0.25">
      <c r="A205" t="s">
        <v>662</v>
      </c>
      <c r="B205" t="s">
        <v>241</v>
      </c>
      <c r="C205" t="s">
        <v>663</v>
      </c>
      <c r="D205">
        <v>717637012</v>
      </c>
      <c r="E205" t="s">
        <v>18</v>
      </c>
      <c r="F205" s="1">
        <v>45532</v>
      </c>
      <c r="G205" t="s">
        <v>29</v>
      </c>
      <c r="H205" s="2">
        <v>1439.58</v>
      </c>
      <c r="I205" t="s">
        <v>25</v>
      </c>
      <c r="J205" t="s">
        <v>26</v>
      </c>
      <c r="K205" t="s">
        <v>12</v>
      </c>
    </row>
    <row r="206" spans="1:11" x14ac:dyDescent="0.25">
      <c r="A206" t="s">
        <v>782</v>
      </c>
      <c r="B206" t="s">
        <v>280</v>
      </c>
      <c r="C206" t="s">
        <v>783</v>
      </c>
      <c r="D206">
        <v>735063785</v>
      </c>
      <c r="E206" t="s">
        <v>18</v>
      </c>
      <c r="F206" s="1">
        <v>45570</v>
      </c>
      <c r="G206" t="s">
        <v>415</v>
      </c>
      <c r="H206" s="2">
        <v>130.35</v>
      </c>
      <c r="I206" t="s">
        <v>25</v>
      </c>
      <c r="J206" t="s">
        <v>11</v>
      </c>
      <c r="K206" t="s">
        <v>16</v>
      </c>
    </row>
    <row r="207" spans="1:11" x14ac:dyDescent="0.25">
      <c r="A207" t="s">
        <v>784</v>
      </c>
      <c r="B207" t="s">
        <v>240</v>
      </c>
      <c r="C207" t="s">
        <v>785</v>
      </c>
      <c r="D207">
        <v>803123797</v>
      </c>
      <c r="E207" t="s">
        <v>9</v>
      </c>
      <c r="F207" s="1">
        <v>45346</v>
      </c>
      <c r="G207" t="s">
        <v>518</v>
      </c>
      <c r="H207" s="2">
        <v>1103.04</v>
      </c>
      <c r="I207" t="s">
        <v>25</v>
      </c>
      <c r="J207" t="s">
        <v>22</v>
      </c>
      <c r="K207" t="s">
        <v>12</v>
      </c>
    </row>
    <row r="208" spans="1:11" x14ac:dyDescent="0.25">
      <c r="A208" t="s">
        <v>786</v>
      </c>
      <c r="B208" t="s">
        <v>240</v>
      </c>
      <c r="C208" t="s">
        <v>787</v>
      </c>
      <c r="D208">
        <v>640094829</v>
      </c>
      <c r="E208" t="s">
        <v>9</v>
      </c>
      <c r="F208" s="1">
        <v>45576</v>
      </c>
      <c r="G208" t="s">
        <v>412</v>
      </c>
      <c r="H208" s="2">
        <v>528.53</v>
      </c>
      <c r="I208" t="s">
        <v>25</v>
      </c>
      <c r="J208" t="s">
        <v>11</v>
      </c>
      <c r="K208" t="s">
        <v>12</v>
      </c>
    </row>
    <row r="209" spans="1:11" x14ac:dyDescent="0.25">
      <c r="A209" t="s">
        <v>788</v>
      </c>
      <c r="B209" t="s">
        <v>373</v>
      </c>
      <c r="C209" t="s">
        <v>789</v>
      </c>
      <c r="D209">
        <v>713999592</v>
      </c>
      <c r="E209" t="s">
        <v>9</v>
      </c>
      <c r="F209" s="1">
        <v>45539</v>
      </c>
      <c r="G209" t="s">
        <v>418</v>
      </c>
      <c r="H209" s="2">
        <v>1068.6300000000001</v>
      </c>
      <c r="I209" t="s">
        <v>25</v>
      </c>
      <c r="J209" t="s">
        <v>26</v>
      </c>
      <c r="K209" t="s">
        <v>16</v>
      </c>
    </row>
    <row r="210" spans="1:11" x14ac:dyDescent="0.25">
      <c r="A210" t="s">
        <v>482</v>
      </c>
      <c r="B210" t="s">
        <v>66</v>
      </c>
      <c r="C210" t="s">
        <v>483</v>
      </c>
      <c r="D210">
        <v>951987392</v>
      </c>
      <c r="E210" t="s">
        <v>9</v>
      </c>
      <c r="F210" s="1">
        <v>45847</v>
      </c>
      <c r="G210" t="s">
        <v>440</v>
      </c>
      <c r="H210" s="2">
        <v>1468.95</v>
      </c>
      <c r="I210" t="s">
        <v>25</v>
      </c>
      <c r="J210" t="s">
        <v>22</v>
      </c>
      <c r="K210" t="s">
        <v>12</v>
      </c>
    </row>
    <row r="211" spans="1:11" x14ac:dyDescent="0.25">
      <c r="A211" t="s">
        <v>471</v>
      </c>
      <c r="B211" t="s">
        <v>311</v>
      </c>
      <c r="C211" t="s">
        <v>472</v>
      </c>
      <c r="D211">
        <v>892859188</v>
      </c>
      <c r="E211" t="s">
        <v>9</v>
      </c>
      <c r="F211" s="1">
        <v>45400</v>
      </c>
      <c r="G211" t="s">
        <v>32</v>
      </c>
      <c r="H211" s="2">
        <v>1509.64</v>
      </c>
      <c r="I211" t="s">
        <v>507</v>
      </c>
      <c r="J211" t="s">
        <v>33</v>
      </c>
      <c r="K211" t="s">
        <v>12</v>
      </c>
    </row>
    <row r="212" spans="1:11" x14ac:dyDescent="0.25">
      <c r="A212" t="s">
        <v>790</v>
      </c>
      <c r="B212" t="s">
        <v>153</v>
      </c>
      <c r="C212" t="s">
        <v>791</v>
      </c>
      <c r="D212">
        <v>705676062</v>
      </c>
      <c r="E212" t="s">
        <v>18</v>
      </c>
      <c r="F212" s="1">
        <v>45877</v>
      </c>
      <c r="G212" t="s">
        <v>19</v>
      </c>
      <c r="H212" s="2">
        <v>1720.63</v>
      </c>
      <c r="I212" t="s">
        <v>444</v>
      </c>
      <c r="J212" t="s">
        <v>11</v>
      </c>
      <c r="K212" t="s">
        <v>12</v>
      </c>
    </row>
    <row r="213" spans="1:11" x14ac:dyDescent="0.25">
      <c r="A213" t="s">
        <v>792</v>
      </c>
      <c r="B213" t="s">
        <v>179</v>
      </c>
      <c r="C213" t="s">
        <v>793</v>
      </c>
      <c r="D213">
        <v>628481126</v>
      </c>
      <c r="E213" t="s">
        <v>9</v>
      </c>
      <c r="F213" s="1">
        <v>45317</v>
      </c>
      <c r="G213" t="s">
        <v>21</v>
      </c>
      <c r="H213" s="2">
        <v>1595.49</v>
      </c>
      <c r="I213" t="s">
        <v>25</v>
      </c>
      <c r="J213" t="s">
        <v>36</v>
      </c>
      <c r="K213" t="s">
        <v>16</v>
      </c>
    </row>
    <row r="214" spans="1:11" x14ac:dyDescent="0.25">
      <c r="A214" t="s">
        <v>794</v>
      </c>
      <c r="B214" t="s">
        <v>371</v>
      </c>
      <c r="C214" t="s">
        <v>795</v>
      </c>
      <c r="D214">
        <v>632927895</v>
      </c>
      <c r="E214" t="s">
        <v>9</v>
      </c>
      <c r="F214" s="1">
        <v>45519</v>
      </c>
      <c r="G214" t="s">
        <v>39</v>
      </c>
      <c r="H214" s="2">
        <v>1144.4000000000001</v>
      </c>
      <c r="I214" t="s">
        <v>25</v>
      </c>
      <c r="J214" t="s">
        <v>22</v>
      </c>
      <c r="K214" t="s">
        <v>12</v>
      </c>
    </row>
    <row r="215" spans="1:11" x14ac:dyDescent="0.25">
      <c r="A215" t="s">
        <v>796</v>
      </c>
      <c r="B215" t="s">
        <v>20</v>
      </c>
      <c r="C215" t="s">
        <v>797</v>
      </c>
      <c r="D215">
        <v>741679878</v>
      </c>
      <c r="E215" t="s">
        <v>9</v>
      </c>
      <c r="F215" s="1">
        <v>45679</v>
      </c>
      <c r="G215" t="s">
        <v>440</v>
      </c>
      <c r="H215" s="2">
        <v>1486.66</v>
      </c>
      <c r="I215" t="s">
        <v>507</v>
      </c>
      <c r="J215" t="s">
        <v>22</v>
      </c>
      <c r="K215" t="s">
        <v>12</v>
      </c>
    </row>
    <row r="216" spans="1:11" x14ac:dyDescent="0.25">
      <c r="A216" t="s">
        <v>798</v>
      </c>
      <c r="B216" t="s">
        <v>52</v>
      </c>
      <c r="C216" t="s">
        <v>799</v>
      </c>
      <c r="D216">
        <v>913421545</v>
      </c>
      <c r="E216" t="s">
        <v>18</v>
      </c>
      <c r="F216" s="1">
        <v>45592</v>
      </c>
      <c r="G216" t="s">
        <v>29</v>
      </c>
      <c r="H216" s="2">
        <v>340.49</v>
      </c>
      <c r="I216" t="s">
        <v>25</v>
      </c>
      <c r="J216" t="s">
        <v>36</v>
      </c>
      <c r="K216" t="s">
        <v>16</v>
      </c>
    </row>
    <row r="217" spans="1:11" x14ac:dyDescent="0.25">
      <c r="A217" t="s">
        <v>800</v>
      </c>
      <c r="B217" t="s">
        <v>281</v>
      </c>
      <c r="C217" t="s">
        <v>801</v>
      </c>
      <c r="D217">
        <v>737403719</v>
      </c>
      <c r="E217" t="s">
        <v>18</v>
      </c>
      <c r="F217" s="1">
        <v>45396</v>
      </c>
      <c r="G217" t="s">
        <v>19</v>
      </c>
      <c r="H217" s="2">
        <v>1018.87</v>
      </c>
      <c r="I217" t="s">
        <v>25</v>
      </c>
      <c r="J217" t="s">
        <v>11</v>
      </c>
      <c r="K217" t="s">
        <v>12</v>
      </c>
    </row>
    <row r="218" spans="1:11" x14ac:dyDescent="0.25">
      <c r="A218" t="s">
        <v>660</v>
      </c>
      <c r="B218" t="s">
        <v>325</v>
      </c>
      <c r="C218" t="s">
        <v>661</v>
      </c>
      <c r="D218">
        <v>727937300</v>
      </c>
      <c r="E218" t="s">
        <v>9</v>
      </c>
      <c r="F218" s="1">
        <v>45498</v>
      </c>
      <c r="G218" t="s">
        <v>47</v>
      </c>
      <c r="H218" s="2">
        <v>1623.8</v>
      </c>
      <c r="I218" t="s">
        <v>25</v>
      </c>
      <c r="J218" t="s">
        <v>11</v>
      </c>
      <c r="K218" t="s">
        <v>16</v>
      </c>
    </row>
    <row r="219" spans="1:11" x14ac:dyDescent="0.25">
      <c r="A219" t="s">
        <v>802</v>
      </c>
      <c r="B219" t="s">
        <v>174</v>
      </c>
      <c r="C219" t="s">
        <v>803</v>
      </c>
      <c r="D219">
        <v>704105492</v>
      </c>
      <c r="E219" t="s">
        <v>18</v>
      </c>
      <c r="F219" s="1">
        <v>45311</v>
      </c>
      <c r="G219" t="s">
        <v>39</v>
      </c>
      <c r="H219" s="2">
        <v>1897.97</v>
      </c>
      <c r="I219" t="s">
        <v>25</v>
      </c>
      <c r="J219" t="s">
        <v>11</v>
      </c>
      <c r="K219" t="s">
        <v>16</v>
      </c>
    </row>
    <row r="220" spans="1:11" x14ac:dyDescent="0.25">
      <c r="A220" t="s">
        <v>758</v>
      </c>
      <c r="B220" t="s">
        <v>209</v>
      </c>
      <c r="C220" t="s">
        <v>759</v>
      </c>
      <c r="D220">
        <v>707823231</v>
      </c>
      <c r="E220" t="s">
        <v>13</v>
      </c>
      <c r="F220" s="1">
        <v>45649</v>
      </c>
      <c r="G220" t="s">
        <v>624</v>
      </c>
      <c r="H220" s="2">
        <v>1621.9</v>
      </c>
      <c r="I220" t="s">
        <v>444</v>
      </c>
      <c r="J220" t="s">
        <v>22</v>
      </c>
      <c r="K220" t="s">
        <v>12</v>
      </c>
    </row>
    <row r="221" spans="1:11" x14ac:dyDescent="0.25">
      <c r="A221" t="s">
        <v>804</v>
      </c>
      <c r="B221" t="s">
        <v>45</v>
      </c>
      <c r="C221" t="s">
        <v>805</v>
      </c>
      <c r="D221">
        <v>716908291</v>
      </c>
      <c r="E221" t="s">
        <v>9</v>
      </c>
      <c r="F221" s="1">
        <v>45521</v>
      </c>
      <c r="G221" t="s">
        <v>451</v>
      </c>
      <c r="H221" s="2">
        <v>916.71</v>
      </c>
      <c r="I221" t="s">
        <v>25</v>
      </c>
      <c r="J221" t="s">
        <v>33</v>
      </c>
      <c r="K221" t="s">
        <v>12</v>
      </c>
    </row>
    <row r="222" spans="1:11" x14ac:dyDescent="0.25">
      <c r="A222" t="s">
        <v>806</v>
      </c>
      <c r="B222" t="s">
        <v>316</v>
      </c>
      <c r="C222" t="s">
        <v>807</v>
      </c>
      <c r="D222">
        <v>718849459</v>
      </c>
      <c r="E222" t="s">
        <v>9</v>
      </c>
      <c r="F222" s="1">
        <v>45458</v>
      </c>
      <c r="G222" t="s">
        <v>506</v>
      </c>
      <c r="H222" s="2">
        <v>1333.59</v>
      </c>
      <c r="I222" t="s">
        <v>25</v>
      </c>
      <c r="J222" t="s">
        <v>33</v>
      </c>
      <c r="K222" t="s">
        <v>12</v>
      </c>
    </row>
    <row r="223" spans="1:11" x14ac:dyDescent="0.25">
      <c r="A223" t="s">
        <v>432</v>
      </c>
      <c r="B223" t="s">
        <v>254</v>
      </c>
      <c r="C223" t="s">
        <v>433</v>
      </c>
      <c r="D223">
        <v>735998025</v>
      </c>
      <c r="E223" t="s">
        <v>9</v>
      </c>
      <c r="F223" s="1">
        <v>45662</v>
      </c>
      <c r="G223" t="s">
        <v>10</v>
      </c>
      <c r="H223" s="2">
        <v>839.91</v>
      </c>
      <c r="I223" t="s">
        <v>25</v>
      </c>
      <c r="J223" t="s">
        <v>22</v>
      </c>
      <c r="K223" t="s">
        <v>12</v>
      </c>
    </row>
    <row r="224" spans="1:11" x14ac:dyDescent="0.25">
      <c r="A224" t="s">
        <v>808</v>
      </c>
      <c r="B224" t="s">
        <v>578</v>
      </c>
      <c r="C224" t="s">
        <v>809</v>
      </c>
      <c r="D224">
        <v>741558653</v>
      </c>
      <c r="E224" t="s">
        <v>9</v>
      </c>
      <c r="F224" s="1">
        <v>45620</v>
      </c>
      <c r="G224" t="s">
        <v>14</v>
      </c>
      <c r="H224" s="2">
        <v>1106.72</v>
      </c>
      <c r="I224" t="s">
        <v>25</v>
      </c>
      <c r="J224" t="s">
        <v>11</v>
      </c>
      <c r="K224" t="s">
        <v>12</v>
      </c>
    </row>
    <row r="225" spans="1:11" x14ac:dyDescent="0.25">
      <c r="A225" t="s">
        <v>566</v>
      </c>
      <c r="B225" t="s">
        <v>321</v>
      </c>
      <c r="C225" t="s">
        <v>567</v>
      </c>
      <c r="D225">
        <v>701055024</v>
      </c>
      <c r="E225" t="s">
        <v>9</v>
      </c>
      <c r="F225" s="1">
        <v>45609</v>
      </c>
      <c r="G225" t="s">
        <v>518</v>
      </c>
      <c r="H225" s="2">
        <v>918.02</v>
      </c>
      <c r="I225" t="s">
        <v>25</v>
      </c>
      <c r="J225" t="s">
        <v>11</v>
      </c>
      <c r="K225" t="s">
        <v>12</v>
      </c>
    </row>
    <row r="226" spans="1:11" x14ac:dyDescent="0.25">
      <c r="A226" t="s">
        <v>516</v>
      </c>
      <c r="B226" t="s">
        <v>395</v>
      </c>
      <c r="C226" t="s">
        <v>517</v>
      </c>
      <c r="D226">
        <v>725414927</v>
      </c>
      <c r="E226" t="s">
        <v>9</v>
      </c>
      <c r="F226" s="1">
        <v>45794</v>
      </c>
      <c r="G226" t="s">
        <v>518</v>
      </c>
      <c r="H226" s="2">
        <v>236.57</v>
      </c>
      <c r="I226" t="s">
        <v>25</v>
      </c>
      <c r="J226" t="s">
        <v>22</v>
      </c>
      <c r="K226" t="s">
        <v>16</v>
      </c>
    </row>
    <row r="227" spans="1:11" x14ac:dyDescent="0.25">
      <c r="A227" t="s">
        <v>810</v>
      </c>
      <c r="B227" t="s">
        <v>811</v>
      </c>
      <c r="C227" t="s">
        <v>812</v>
      </c>
      <c r="D227">
        <v>741972258</v>
      </c>
      <c r="E227" t="s">
        <v>9</v>
      </c>
      <c r="F227" s="1">
        <v>45229</v>
      </c>
      <c r="G227" t="s">
        <v>603</v>
      </c>
      <c r="H227" s="2">
        <v>957.26</v>
      </c>
      <c r="I227" t="s">
        <v>25</v>
      </c>
      <c r="J227" t="s">
        <v>36</v>
      </c>
      <c r="K227" t="s">
        <v>16</v>
      </c>
    </row>
    <row r="228" spans="1:11" x14ac:dyDescent="0.25">
      <c r="A228" t="s">
        <v>813</v>
      </c>
      <c r="B228" t="s">
        <v>814</v>
      </c>
      <c r="C228" t="s">
        <v>815</v>
      </c>
      <c r="D228">
        <v>741044800</v>
      </c>
      <c r="E228" t="s">
        <v>9</v>
      </c>
      <c r="F228" s="1">
        <v>45365</v>
      </c>
      <c r="G228" t="s">
        <v>19</v>
      </c>
      <c r="H228" s="2">
        <v>94.02</v>
      </c>
      <c r="I228" t="s">
        <v>25</v>
      </c>
      <c r="J228" t="s">
        <v>22</v>
      </c>
      <c r="K228" t="s">
        <v>16</v>
      </c>
    </row>
    <row r="229" spans="1:11" x14ac:dyDescent="0.25">
      <c r="A229" t="s">
        <v>816</v>
      </c>
      <c r="B229" t="s">
        <v>264</v>
      </c>
      <c r="C229" t="s">
        <v>817</v>
      </c>
      <c r="D229">
        <v>705449727</v>
      </c>
      <c r="E229" t="s">
        <v>9</v>
      </c>
      <c r="F229" s="1">
        <v>45446</v>
      </c>
      <c r="G229" t="s">
        <v>440</v>
      </c>
      <c r="H229" s="2">
        <v>1021.09</v>
      </c>
      <c r="I229" t="s">
        <v>25</v>
      </c>
      <c r="J229" t="s">
        <v>22</v>
      </c>
      <c r="K229" t="s">
        <v>16</v>
      </c>
    </row>
    <row r="230" spans="1:11" x14ac:dyDescent="0.25">
      <c r="A230" t="s">
        <v>606</v>
      </c>
      <c r="B230" t="s">
        <v>75</v>
      </c>
      <c r="C230" t="s">
        <v>607</v>
      </c>
      <c r="D230">
        <v>701371902</v>
      </c>
      <c r="E230" t="s">
        <v>9</v>
      </c>
      <c r="F230" s="1">
        <v>45561</v>
      </c>
      <c r="G230" t="s">
        <v>39</v>
      </c>
      <c r="H230" s="2">
        <v>1388.3</v>
      </c>
      <c r="I230" t="s">
        <v>507</v>
      </c>
      <c r="J230" t="s">
        <v>11</v>
      </c>
      <c r="K230" t="s">
        <v>16</v>
      </c>
    </row>
    <row r="231" spans="1:11" x14ac:dyDescent="0.25">
      <c r="A231" t="s">
        <v>818</v>
      </c>
      <c r="B231" t="s">
        <v>322</v>
      </c>
      <c r="C231" t="s">
        <v>819</v>
      </c>
      <c r="D231">
        <v>745740326</v>
      </c>
      <c r="E231" t="s">
        <v>13</v>
      </c>
      <c r="F231" s="1">
        <v>45468</v>
      </c>
      <c r="G231" t="s">
        <v>460</v>
      </c>
      <c r="H231" s="2">
        <v>1609.69</v>
      </c>
      <c r="I231" t="s">
        <v>25</v>
      </c>
      <c r="J231" t="s">
        <v>11</v>
      </c>
      <c r="K231" t="s">
        <v>12</v>
      </c>
    </row>
    <row r="232" spans="1:11" x14ac:dyDescent="0.25">
      <c r="A232" t="s">
        <v>820</v>
      </c>
      <c r="B232" t="s">
        <v>64</v>
      </c>
      <c r="C232" t="s">
        <v>821</v>
      </c>
      <c r="D232">
        <v>887900324</v>
      </c>
      <c r="E232" t="s">
        <v>9</v>
      </c>
      <c r="F232" s="1">
        <v>45281</v>
      </c>
      <c r="G232" t="s">
        <v>24</v>
      </c>
      <c r="H232" s="2">
        <v>228.88</v>
      </c>
      <c r="I232" t="s">
        <v>507</v>
      </c>
      <c r="J232" t="s">
        <v>22</v>
      </c>
      <c r="K232" t="s">
        <v>16</v>
      </c>
    </row>
    <row r="233" spans="1:11" x14ac:dyDescent="0.25">
      <c r="A233" t="s">
        <v>767</v>
      </c>
      <c r="B233" t="s">
        <v>114</v>
      </c>
      <c r="C233" t="s">
        <v>768</v>
      </c>
      <c r="D233">
        <v>730016083</v>
      </c>
      <c r="E233" t="s">
        <v>13</v>
      </c>
      <c r="F233" s="1">
        <v>45465</v>
      </c>
      <c r="G233" t="s">
        <v>460</v>
      </c>
      <c r="H233" s="2">
        <v>898.86</v>
      </c>
      <c r="I233" t="s">
        <v>25</v>
      </c>
      <c r="J233" t="s">
        <v>33</v>
      </c>
      <c r="K233" t="s">
        <v>16</v>
      </c>
    </row>
    <row r="234" spans="1:11" x14ac:dyDescent="0.25">
      <c r="A234" t="s">
        <v>822</v>
      </c>
      <c r="B234" t="s">
        <v>392</v>
      </c>
      <c r="C234" t="s">
        <v>823</v>
      </c>
      <c r="D234">
        <v>725966550</v>
      </c>
      <c r="E234" t="s">
        <v>9</v>
      </c>
      <c r="F234" s="1">
        <v>45550</v>
      </c>
      <c r="G234" t="s">
        <v>10</v>
      </c>
      <c r="H234" s="2">
        <v>863.88</v>
      </c>
      <c r="I234" t="s">
        <v>444</v>
      </c>
      <c r="J234" t="s">
        <v>33</v>
      </c>
      <c r="K234" t="s">
        <v>12</v>
      </c>
    </row>
    <row r="235" spans="1:11" x14ac:dyDescent="0.25">
      <c r="A235" t="s">
        <v>824</v>
      </c>
      <c r="B235" t="s">
        <v>281</v>
      </c>
      <c r="C235" t="s">
        <v>825</v>
      </c>
      <c r="D235">
        <v>747596472</v>
      </c>
      <c r="E235" t="s">
        <v>18</v>
      </c>
      <c r="F235" s="1">
        <v>45717</v>
      </c>
      <c r="G235" t="s">
        <v>451</v>
      </c>
      <c r="H235" s="2">
        <v>1144.28</v>
      </c>
      <c r="I235" t="s">
        <v>25</v>
      </c>
      <c r="J235" t="s">
        <v>11</v>
      </c>
      <c r="K235" t="s">
        <v>16</v>
      </c>
    </row>
    <row r="236" spans="1:11" x14ac:dyDescent="0.25">
      <c r="A236" t="s">
        <v>749</v>
      </c>
      <c r="B236" t="s">
        <v>750</v>
      </c>
      <c r="C236" t="s">
        <v>751</v>
      </c>
      <c r="D236">
        <v>703436635</v>
      </c>
      <c r="E236" t="s">
        <v>9</v>
      </c>
      <c r="F236" s="1">
        <v>45250</v>
      </c>
      <c r="G236" t="s">
        <v>506</v>
      </c>
      <c r="H236" s="2">
        <v>1351.26</v>
      </c>
      <c r="I236" t="s">
        <v>25</v>
      </c>
      <c r="J236" t="s">
        <v>36</v>
      </c>
      <c r="K236" t="s">
        <v>16</v>
      </c>
    </row>
    <row r="237" spans="1:11" x14ac:dyDescent="0.25">
      <c r="A237" t="s">
        <v>731</v>
      </c>
      <c r="B237" t="s">
        <v>65</v>
      </c>
      <c r="C237" t="s">
        <v>732</v>
      </c>
      <c r="D237">
        <v>719409141</v>
      </c>
      <c r="E237" t="s">
        <v>18</v>
      </c>
      <c r="F237" s="1">
        <v>45573</v>
      </c>
      <c r="G237" t="s">
        <v>39</v>
      </c>
      <c r="H237" s="2">
        <v>914.35</v>
      </c>
      <c r="I237" t="s">
        <v>25</v>
      </c>
      <c r="J237" t="s">
        <v>36</v>
      </c>
      <c r="K237" t="s">
        <v>16</v>
      </c>
    </row>
    <row r="238" spans="1:11" x14ac:dyDescent="0.25">
      <c r="A238" t="s">
        <v>584</v>
      </c>
      <c r="B238" t="s">
        <v>68</v>
      </c>
      <c r="C238" t="s">
        <v>585</v>
      </c>
      <c r="D238">
        <v>699605788</v>
      </c>
      <c r="E238" t="s">
        <v>18</v>
      </c>
      <c r="F238" s="1">
        <v>45533</v>
      </c>
      <c r="G238" t="s">
        <v>440</v>
      </c>
      <c r="H238" s="2">
        <v>1122</v>
      </c>
      <c r="I238" t="s">
        <v>507</v>
      </c>
      <c r="J238" t="s">
        <v>11</v>
      </c>
      <c r="K238" t="s">
        <v>12</v>
      </c>
    </row>
    <row r="239" spans="1:11" x14ac:dyDescent="0.25">
      <c r="A239" t="s">
        <v>697</v>
      </c>
      <c r="B239" t="s">
        <v>293</v>
      </c>
      <c r="C239" t="s">
        <v>698</v>
      </c>
      <c r="D239">
        <v>704058112</v>
      </c>
      <c r="E239" t="s">
        <v>18</v>
      </c>
      <c r="F239" s="1">
        <v>45844</v>
      </c>
      <c r="G239" t="s">
        <v>412</v>
      </c>
      <c r="H239" s="2">
        <v>1893.9</v>
      </c>
      <c r="I239" t="s">
        <v>25</v>
      </c>
      <c r="J239" t="s">
        <v>26</v>
      </c>
      <c r="K239" t="s">
        <v>16</v>
      </c>
    </row>
    <row r="240" spans="1:11" x14ac:dyDescent="0.25">
      <c r="A240" t="s">
        <v>543</v>
      </c>
      <c r="B240" t="s">
        <v>276</v>
      </c>
      <c r="C240" t="s">
        <v>544</v>
      </c>
      <c r="D240">
        <v>744517295</v>
      </c>
      <c r="E240" t="s">
        <v>18</v>
      </c>
      <c r="F240" s="1">
        <v>45643</v>
      </c>
      <c r="G240" t="s">
        <v>440</v>
      </c>
      <c r="H240" s="2">
        <v>109.69</v>
      </c>
      <c r="I240" t="s">
        <v>25</v>
      </c>
      <c r="J240" t="s">
        <v>36</v>
      </c>
      <c r="K240" t="s">
        <v>12</v>
      </c>
    </row>
    <row r="241" spans="1:11" x14ac:dyDescent="0.25">
      <c r="A241" t="s">
        <v>826</v>
      </c>
      <c r="B241" t="s">
        <v>298</v>
      </c>
      <c r="C241" t="s">
        <v>827</v>
      </c>
      <c r="D241">
        <v>737710108</v>
      </c>
      <c r="E241" t="s">
        <v>9</v>
      </c>
      <c r="F241" s="1">
        <v>45646</v>
      </c>
      <c r="G241" t="s">
        <v>478</v>
      </c>
      <c r="H241" s="2">
        <v>1232.32</v>
      </c>
      <c r="I241" t="s">
        <v>25</v>
      </c>
      <c r="J241" t="s">
        <v>26</v>
      </c>
      <c r="K241" t="s">
        <v>16</v>
      </c>
    </row>
    <row r="242" spans="1:11" x14ac:dyDescent="0.25">
      <c r="A242" t="s">
        <v>828</v>
      </c>
      <c r="B242" t="s">
        <v>156</v>
      </c>
      <c r="C242" t="s">
        <v>829</v>
      </c>
      <c r="D242">
        <v>745378803</v>
      </c>
      <c r="E242" t="s">
        <v>18</v>
      </c>
      <c r="F242" s="1">
        <v>45646</v>
      </c>
      <c r="G242" t="s">
        <v>10</v>
      </c>
      <c r="H242" s="2">
        <v>1316.17</v>
      </c>
      <c r="I242" t="s">
        <v>25</v>
      </c>
      <c r="J242" t="s">
        <v>11</v>
      </c>
      <c r="K242" t="s">
        <v>12</v>
      </c>
    </row>
    <row r="243" spans="1:11" x14ac:dyDescent="0.25">
      <c r="A243" t="s">
        <v>830</v>
      </c>
      <c r="B243" t="s">
        <v>831</v>
      </c>
      <c r="C243" t="s">
        <v>832</v>
      </c>
      <c r="D243">
        <v>731359620</v>
      </c>
      <c r="E243" t="s">
        <v>18</v>
      </c>
      <c r="F243" s="1">
        <v>45740</v>
      </c>
      <c r="G243" t="s">
        <v>443</v>
      </c>
      <c r="H243" s="2">
        <v>360.69</v>
      </c>
      <c r="I243" t="s">
        <v>25</v>
      </c>
      <c r="J243" t="s">
        <v>11</v>
      </c>
      <c r="K243" t="s">
        <v>16</v>
      </c>
    </row>
    <row r="244" spans="1:11" x14ac:dyDescent="0.25">
      <c r="A244" t="s">
        <v>833</v>
      </c>
      <c r="B244" t="s">
        <v>314</v>
      </c>
      <c r="C244" t="s">
        <v>834</v>
      </c>
      <c r="D244">
        <v>710390333</v>
      </c>
      <c r="E244" t="s">
        <v>18</v>
      </c>
      <c r="F244" s="1">
        <v>45277</v>
      </c>
      <c r="G244" t="s">
        <v>10</v>
      </c>
      <c r="H244" s="2">
        <v>290.95999999999998</v>
      </c>
      <c r="I244" t="s">
        <v>25</v>
      </c>
      <c r="J244" t="s">
        <v>11</v>
      </c>
      <c r="K244" t="s">
        <v>12</v>
      </c>
    </row>
    <row r="245" spans="1:11" x14ac:dyDescent="0.25">
      <c r="A245" t="s">
        <v>835</v>
      </c>
      <c r="B245" t="s">
        <v>83</v>
      </c>
      <c r="C245" t="s">
        <v>836</v>
      </c>
      <c r="D245">
        <v>720195198</v>
      </c>
      <c r="E245" t="s">
        <v>18</v>
      </c>
      <c r="F245" s="1">
        <v>45854</v>
      </c>
      <c r="G245" t="s">
        <v>518</v>
      </c>
      <c r="H245" s="2">
        <v>72.38</v>
      </c>
      <c r="I245" t="s">
        <v>25</v>
      </c>
      <c r="J245" t="s">
        <v>36</v>
      </c>
      <c r="K245" t="s">
        <v>12</v>
      </c>
    </row>
    <row r="246" spans="1:11" x14ac:dyDescent="0.25">
      <c r="A246" t="s">
        <v>837</v>
      </c>
      <c r="B246" t="s">
        <v>194</v>
      </c>
      <c r="C246" t="s">
        <v>838</v>
      </c>
      <c r="D246">
        <v>704360684</v>
      </c>
      <c r="E246" t="s">
        <v>9</v>
      </c>
      <c r="F246" s="1">
        <v>45514</v>
      </c>
      <c r="G246" t="s">
        <v>418</v>
      </c>
      <c r="H246" s="2">
        <v>1881.75</v>
      </c>
      <c r="I246" t="s">
        <v>25</v>
      </c>
      <c r="J246" t="s">
        <v>11</v>
      </c>
      <c r="K246" t="s">
        <v>16</v>
      </c>
    </row>
    <row r="247" spans="1:11" x14ac:dyDescent="0.25">
      <c r="A247" t="s">
        <v>839</v>
      </c>
      <c r="B247" t="s">
        <v>236</v>
      </c>
      <c r="C247" t="s">
        <v>840</v>
      </c>
      <c r="D247">
        <v>710165186</v>
      </c>
      <c r="E247" t="s">
        <v>9</v>
      </c>
      <c r="F247" s="1">
        <v>45741</v>
      </c>
      <c r="G247" t="s">
        <v>32</v>
      </c>
      <c r="H247" s="2">
        <v>867.9</v>
      </c>
      <c r="I247" t="s">
        <v>25</v>
      </c>
      <c r="J247" t="s">
        <v>22</v>
      </c>
      <c r="K247" t="s">
        <v>16</v>
      </c>
    </row>
    <row r="248" spans="1:11" x14ac:dyDescent="0.25">
      <c r="A248" t="s">
        <v>841</v>
      </c>
      <c r="B248" t="s">
        <v>275</v>
      </c>
      <c r="C248" t="s">
        <v>842</v>
      </c>
      <c r="D248">
        <v>709339074</v>
      </c>
      <c r="E248" t="s">
        <v>9</v>
      </c>
      <c r="F248" s="1">
        <v>45814</v>
      </c>
      <c r="G248" t="s">
        <v>460</v>
      </c>
      <c r="H248" s="2">
        <v>909.92</v>
      </c>
      <c r="I248" t="s">
        <v>25</v>
      </c>
      <c r="J248" t="s">
        <v>22</v>
      </c>
      <c r="K248" t="s">
        <v>12</v>
      </c>
    </row>
    <row r="249" spans="1:11" x14ac:dyDescent="0.25">
      <c r="A249" t="s">
        <v>843</v>
      </c>
      <c r="B249" t="s">
        <v>172</v>
      </c>
      <c r="C249" t="s">
        <v>844</v>
      </c>
      <c r="D249">
        <v>738447830</v>
      </c>
      <c r="E249" t="s">
        <v>18</v>
      </c>
      <c r="F249" s="1">
        <v>45800</v>
      </c>
      <c r="G249" t="s">
        <v>19</v>
      </c>
      <c r="H249" s="2">
        <v>1198.42</v>
      </c>
      <c r="I249" t="s">
        <v>507</v>
      </c>
      <c r="J249" t="s">
        <v>22</v>
      </c>
      <c r="K249" t="s">
        <v>16</v>
      </c>
    </row>
    <row r="250" spans="1:11" x14ac:dyDescent="0.25">
      <c r="A250" t="s">
        <v>796</v>
      </c>
      <c r="B250" t="s">
        <v>20</v>
      </c>
      <c r="C250" t="s">
        <v>797</v>
      </c>
      <c r="D250">
        <v>741679878</v>
      </c>
      <c r="E250" t="s">
        <v>9</v>
      </c>
      <c r="F250" s="1">
        <v>45500</v>
      </c>
      <c r="G250" t="s">
        <v>440</v>
      </c>
      <c r="H250" s="2">
        <v>1196.6400000000001</v>
      </c>
      <c r="I250" t="s">
        <v>25</v>
      </c>
      <c r="J250" t="s">
        <v>33</v>
      </c>
      <c r="K250" t="s">
        <v>12</v>
      </c>
    </row>
    <row r="251" spans="1:11" x14ac:dyDescent="0.25">
      <c r="A251" t="s">
        <v>845</v>
      </c>
      <c r="B251" t="s">
        <v>174</v>
      </c>
      <c r="C251" t="s">
        <v>846</v>
      </c>
      <c r="D251">
        <v>739067408</v>
      </c>
      <c r="E251" t="s">
        <v>9</v>
      </c>
      <c r="F251" s="1">
        <v>45897</v>
      </c>
      <c r="G251" t="s">
        <v>460</v>
      </c>
      <c r="H251" s="2">
        <v>1259.4100000000001</v>
      </c>
      <c r="I251" t="s">
        <v>25</v>
      </c>
      <c r="J251" t="s">
        <v>22</v>
      </c>
      <c r="K251" t="s">
        <v>16</v>
      </c>
    </row>
    <row r="252" spans="1:11" x14ac:dyDescent="0.25">
      <c r="A252" t="s">
        <v>847</v>
      </c>
      <c r="B252" t="s">
        <v>256</v>
      </c>
      <c r="C252" t="s">
        <v>848</v>
      </c>
      <c r="D252">
        <v>733233840</v>
      </c>
      <c r="E252" t="s">
        <v>9</v>
      </c>
      <c r="F252" s="1">
        <v>45669</v>
      </c>
      <c r="G252" t="s">
        <v>475</v>
      </c>
      <c r="H252" s="2">
        <v>972.68</v>
      </c>
      <c r="I252" t="s">
        <v>25</v>
      </c>
      <c r="J252" t="s">
        <v>22</v>
      </c>
      <c r="K252" t="s">
        <v>12</v>
      </c>
    </row>
    <row r="253" spans="1:11" x14ac:dyDescent="0.25">
      <c r="A253" t="s">
        <v>570</v>
      </c>
      <c r="B253" t="s">
        <v>571</v>
      </c>
      <c r="C253" t="s">
        <v>572</v>
      </c>
      <c r="D253">
        <v>713291022</v>
      </c>
      <c r="E253" t="s">
        <v>13</v>
      </c>
      <c r="F253" s="1">
        <v>45202</v>
      </c>
      <c r="G253" t="s">
        <v>418</v>
      </c>
      <c r="H253" s="2">
        <v>1851.02</v>
      </c>
      <c r="I253" t="s">
        <v>25</v>
      </c>
      <c r="J253" t="s">
        <v>33</v>
      </c>
      <c r="K253" t="s">
        <v>16</v>
      </c>
    </row>
    <row r="254" spans="1:11" x14ac:dyDescent="0.25">
      <c r="A254" t="s">
        <v>849</v>
      </c>
      <c r="B254" t="s">
        <v>233</v>
      </c>
      <c r="C254" t="s">
        <v>850</v>
      </c>
      <c r="D254">
        <v>749257183</v>
      </c>
      <c r="E254" t="s">
        <v>9</v>
      </c>
      <c r="F254" s="1">
        <v>45227</v>
      </c>
      <c r="G254" t="s">
        <v>423</v>
      </c>
      <c r="H254" s="2">
        <v>43.04</v>
      </c>
      <c r="I254" t="s">
        <v>25</v>
      </c>
      <c r="J254" t="s">
        <v>22</v>
      </c>
      <c r="K254" t="s">
        <v>16</v>
      </c>
    </row>
    <row r="255" spans="1:11" x14ac:dyDescent="0.25">
      <c r="A255" t="s">
        <v>586</v>
      </c>
      <c r="B255" t="s">
        <v>587</v>
      </c>
      <c r="C255" t="s">
        <v>588</v>
      </c>
      <c r="D255">
        <v>954106570</v>
      </c>
      <c r="E255" t="s">
        <v>9</v>
      </c>
      <c r="F255" s="1">
        <v>45885</v>
      </c>
      <c r="G255" t="s">
        <v>47</v>
      </c>
      <c r="H255" s="2">
        <v>1780.37</v>
      </c>
      <c r="I255" t="s">
        <v>25</v>
      </c>
      <c r="J255" t="s">
        <v>22</v>
      </c>
      <c r="K255" t="s">
        <v>16</v>
      </c>
    </row>
    <row r="256" spans="1:11" x14ac:dyDescent="0.25">
      <c r="A256" t="s">
        <v>851</v>
      </c>
      <c r="B256" t="s">
        <v>127</v>
      </c>
      <c r="C256" t="s">
        <v>852</v>
      </c>
      <c r="D256">
        <v>732119992</v>
      </c>
      <c r="E256" t="s">
        <v>9</v>
      </c>
      <c r="F256" s="1">
        <v>45445</v>
      </c>
      <c r="G256" t="s">
        <v>423</v>
      </c>
      <c r="H256" s="2">
        <v>940.93</v>
      </c>
      <c r="I256" t="s">
        <v>25</v>
      </c>
      <c r="J256" t="s">
        <v>22</v>
      </c>
      <c r="K256" t="s">
        <v>12</v>
      </c>
    </row>
    <row r="257" spans="1:11" x14ac:dyDescent="0.25">
      <c r="A257" t="s">
        <v>853</v>
      </c>
      <c r="B257" t="s">
        <v>854</v>
      </c>
      <c r="C257" t="s">
        <v>855</v>
      </c>
      <c r="D257">
        <v>731844990</v>
      </c>
      <c r="E257" t="s">
        <v>18</v>
      </c>
      <c r="F257" s="1">
        <v>45194</v>
      </c>
      <c r="G257" t="s">
        <v>14</v>
      </c>
      <c r="H257" s="2">
        <v>1203.3</v>
      </c>
      <c r="I257" t="s">
        <v>25</v>
      </c>
      <c r="J257" t="s">
        <v>22</v>
      </c>
      <c r="K257" t="s">
        <v>16</v>
      </c>
    </row>
    <row r="258" spans="1:11" x14ac:dyDescent="0.25">
      <c r="A258" t="s">
        <v>856</v>
      </c>
      <c r="B258" t="s">
        <v>97</v>
      </c>
      <c r="C258" t="s">
        <v>857</v>
      </c>
      <c r="D258">
        <v>748297259</v>
      </c>
      <c r="E258" t="s">
        <v>9</v>
      </c>
      <c r="F258" s="1">
        <v>45486</v>
      </c>
      <c r="G258" t="s">
        <v>35</v>
      </c>
      <c r="H258" s="2">
        <v>690.96</v>
      </c>
      <c r="I258" t="s">
        <v>25</v>
      </c>
      <c r="J258" t="s">
        <v>26</v>
      </c>
      <c r="K258" t="s">
        <v>16</v>
      </c>
    </row>
    <row r="259" spans="1:11" x14ac:dyDescent="0.25">
      <c r="A259" t="s">
        <v>858</v>
      </c>
      <c r="B259" t="s">
        <v>272</v>
      </c>
      <c r="C259" t="s">
        <v>859</v>
      </c>
      <c r="D259">
        <v>726664477</v>
      </c>
      <c r="E259" t="s">
        <v>9</v>
      </c>
      <c r="F259" s="1">
        <v>45794</v>
      </c>
      <c r="G259" t="s">
        <v>24</v>
      </c>
      <c r="H259" s="2">
        <v>64.14</v>
      </c>
      <c r="I259" t="s">
        <v>25</v>
      </c>
      <c r="J259" t="s">
        <v>22</v>
      </c>
      <c r="K259" t="s">
        <v>16</v>
      </c>
    </row>
    <row r="260" spans="1:11" x14ac:dyDescent="0.25">
      <c r="A260" t="s">
        <v>860</v>
      </c>
      <c r="B260" t="s">
        <v>282</v>
      </c>
      <c r="C260" t="s">
        <v>861</v>
      </c>
      <c r="D260">
        <v>720839974</v>
      </c>
      <c r="E260" t="s">
        <v>9</v>
      </c>
      <c r="F260" s="1">
        <v>45495</v>
      </c>
      <c r="G260" t="s">
        <v>29</v>
      </c>
      <c r="H260" s="2">
        <v>1222.48</v>
      </c>
      <c r="I260" t="s">
        <v>25</v>
      </c>
      <c r="J260" t="s">
        <v>22</v>
      </c>
      <c r="K260" t="s">
        <v>16</v>
      </c>
    </row>
    <row r="261" spans="1:11" x14ac:dyDescent="0.25">
      <c r="A261" t="s">
        <v>862</v>
      </c>
      <c r="B261" t="s">
        <v>301</v>
      </c>
      <c r="C261" t="s">
        <v>863</v>
      </c>
      <c r="D261">
        <v>609318534</v>
      </c>
      <c r="E261" t="s">
        <v>9</v>
      </c>
      <c r="F261" s="1">
        <v>45715</v>
      </c>
      <c r="G261" t="s">
        <v>29</v>
      </c>
      <c r="H261" s="2">
        <v>872.08</v>
      </c>
      <c r="I261" t="s">
        <v>507</v>
      </c>
      <c r="J261" t="s">
        <v>22</v>
      </c>
      <c r="K261" t="s">
        <v>16</v>
      </c>
    </row>
    <row r="262" spans="1:11" x14ac:dyDescent="0.25">
      <c r="A262" t="s">
        <v>864</v>
      </c>
      <c r="B262" t="s">
        <v>30</v>
      </c>
      <c r="C262" t="s">
        <v>865</v>
      </c>
      <c r="D262">
        <v>803943952</v>
      </c>
      <c r="E262" t="s">
        <v>13</v>
      </c>
      <c r="F262" s="1">
        <v>45396</v>
      </c>
      <c r="G262" t="s">
        <v>423</v>
      </c>
      <c r="H262" s="2">
        <v>1498.91</v>
      </c>
      <c r="I262" t="s">
        <v>507</v>
      </c>
      <c r="J262" t="s">
        <v>33</v>
      </c>
      <c r="K262" t="s">
        <v>12</v>
      </c>
    </row>
    <row r="263" spans="1:11" x14ac:dyDescent="0.25">
      <c r="A263" t="s">
        <v>479</v>
      </c>
      <c r="B263" t="s">
        <v>480</v>
      </c>
      <c r="C263" t="s">
        <v>481</v>
      </c>
      <c r="D263">
        <v>727899933</v>
      </c>
      <c r="E263" t="s">
        <v>18</v>
      </c>
      <c r="F263" s="1">
        <v>45908</v>
      </c>
      <c r="G263" t="s">
        <v>443</v>
      </c>
      <c r="H263" s="2">
        <v>1160.69</v>
      </c>
      <c r="I263" t="s">
        <v>25</v>
      </c>
      <c r="J263" t="s">
        <v>11</v>
      </c>
      <c r="K263" t="s">
        <v>12</v>
      </c>
    </row>
    <row r="264" spans="1:11" x14ac:dyDescent="0.25">
      <c r="A264" t="s">
        <v>866</v>
      </c>
      <c r="B264" t="s">
        <v>285</v>
      </c>
      <c r="C264" t="s">
        <v>867</v>
      </c>
      <c r="D264">
        <v>630066094</v>
      </c>
      <c r="E264" t="s">
        <v>9</v>
      </c>
      <c r="F264" s="1">
        <v>45898</v>
      </c>
      <c r="G264" t="s">
        <v>10</v>
      </c>
      <c r="H264" s="2">
        <v>1647.5</v>
      </c>
      <c r="I264" t="s">
        <v>25</v>
      </c>
      <c r="J264" t="s">
        <v>11</v>
      </c>
      <c r="K264" t="s">
        <v>16</v>
      </c>
    </row>
    <row r="265" spans="1:11" x14ac:dyDescent="0.25">
      <c r="A265" t="s">
        <v>593</v>
      </c>
      <c r="B265" t="s">
        <v>404</v>
      </c>
      <c r="C265" t="s">
        <v>594</v>
      </c>
      <c r="D265">
        <v>703546596</v>
      </c>
      <c r="E265" t="s">
        <v>18</v>
      </c>
      <c r="F265" s="1">
        <v>45795</v>
      </c>
      <c r="G265" t="s">
        <v>451</v>
      </c>
      <c r="H265" s="2">
        <v>114.02</v>
      </c>
      <c r="I265" t="s">
        <v>25</v>
      </c>
      <c r="J265" t="s">
        <v>11</v>
      </c>
      <c r="K265" t="s">
        <v>12</v>
      </c>
    </row>
    <row r="266" spans="1:11" x14ac:dyDescent="0.25">
      <c r="A266" t="s">
        <v>822</v>
      </c>
      <c r="B266" t="s">
        <v>392</v>
      </c>
      <c r="C266" t="s">
        <v>823</v>
      </c>
      <c r="D266">
        <v>725966550</v>
      </c>
      <c r="E266" t="s">
        <v>9</v>
      </c>
      <c r="F266" s="1">
        <v>45401</v>
      </c>
      <c r="G266" t="s">
        <v>10</v>
      </c>
      <c r="H266" s="2">
        <v>650.66</v>
      </c>
      <c r="I266" t="s">
        <v>25</v>
      </c>
      <c r="J266" t="s">
        <v>36</v>
      </c>
      <c r="K266" t="s">
        <v>16</v>
      </c>
    </row>
    <row r="267" spans="1:11" x14ac:dyDescent="0.25">
      <c r="A267" t="s">
        <v>763</v>
      </c>
      <c r="B267" t="s">
        <v>343</v>
      </c>
      <c r="C267" t="s">
        <v>764</v>
      </c>
      <c r="D267">
        <v>679029843</v>
      </c>
      <c r="E267" t="s">
        <v>13</v>
      </c>
      <c r="F267" s="1">
        <v>45466</v>
      </c>
      <c r="G267" t="s">
        <v>475</v>
      </c>
      <c r="H267" s="2">
        <v>737.26</v>
      </c>
      <c r="I267" t="s">
        <v>25</v>
      </c>
      <c r="J267" t="s">
        <v>11</v>
      </c>
      <c r="K267" t="s">
        <v>12</v>
      </c>
    </row>
    <row r="268" spans="1:11" x14ac:dyDescent="0.25">
      <c r="A268" t="s">
        <v>868</v>
      </c>
      <c r="B268" t="s">
        <v>43</v>
      </c>
      <c r="C268" t="s">
        <v>869</v>
      </c>
      <c r="D268">
        <v>648175517</v>
      </c>
      <c r="E268" t="s">
        <v>18</v>
      </c>
      <c r="F268" s="1">
        <v>45761</v>
      </c>
      <c r="G268" t="s">
        <v>624</v>
      </c>
      <c r="H268" s="2">
        <v>991.75</v>
      </c>
      <c r="I268" t="s">
        <v>25</v>
      </c>
      <c r="J268" t="s">
        <v>26</v>
      </c>
      <c r="K268" t="s">
        <v>12</v>
      </c>
    </row>
    <row r="269" spans="1:11" x14ac:dyDescent="0.25">
      <c r="A269" t="s">
        <v>699</v>
      </c>
      <c r="B269" t="s">
        <v>167</v>
      </c>
      <c r="C269" t="s">
        <v>700</v>
      </c>
      <c r="D269">
        <v>734216317</v>
      </c>
      <c r="E269" t="s">
        <v>9</v>
      </c>
      <c r="F269" s="1">
        <v>45293</v>
      </c>
      <c r="G269" t="s">
        <v>475</v>
      </c>
      <c r="H269" s="2">
        <v>69.31</v>
      </c>
      <c r="I269" t="s">
        <v>507</v>
      </c>
      <c r="J269" t="s">
        <v>11</v>
      </c>
      <c r="K269" t="s">
        <v>16</v>
      </c>
    </row>
    <row r="270" spans="1:11" x14ac:dyDescent="0.25">
      <c r="A270" t="s">
        <v>870</v>
      </c>
      <c r="B270" t="s">
        <v>89</v>
      </c>
      <c r="C270" t="s">
        <v>871</v>
      </c>
      <c r="D270">
        <v>728307481</v>
      </c>
      <c r="E270" t="s">
        <v>9</v>
      </c>
      <c r="F270" s="1">
        <v>45661</v>
      </c>
      <c r="G270" t="s">
        <v>14</v>
      </c>
      <c r="H270" s="2">
        <v>44.21</v>
      </c>
      <c r="I270" t="s">
        <v>25</v>
      </c>
      <c r="J270" t="s">
        <v>22</v>
      </c>
      <c r="K270" t="s">
        <v>16</v>
      </c>
    </row>
    <row r="271" spans="1:11" x14ac:dyDescent="0.25">
      <c r="A271" t="s">
        <v>872</v>
      </c>
      <c r="B271" t="s">
        <v>873</v>
      </c>
      <c r="C271" t="s">
        <v>874</v>
      </c>
      <c r="D271">
        <v>733766125</v>
      </c>
      <c r="E271" t="s">
        <v>9</v>
      </c>
      <c r="F271" s="1">
        <v>45401</v>
      </c>
      <c r="G271" t="s">
        <v>415</v>
      </c>
      <c r="H271" s="2">
        <v>1042.46</v>
      </c>
      <c r="I271" t="s">
        <v>25</v>
      </c>
      <c r="J271" t="s">
        <v>33</v>
      </c>
      <c r="K271" t="s">
        <v>16</v>
      </c>
    </row>
    <row r="272" spans="1:11" x14ac:dyDescent="0.25">
      <c r="A272" t="s">
        <v>875</v>
      </c>
      <c r="B272" t="s">
        <v>97</v>
      </c>
      <c r="C272" t="s">
        <v>876</v>
      </c>
      <c r="D272">
        <v>621081475</v>
      </c>
      <c r="E272" t="s">
        <v>18</v>
      </c>
      <c r="F272" s="1">
        <v>45470</v>
      </c>
      <c r="G272" t="s">
        <v>21</v>
      </c>
      <c r="H272" s="2">
        <v>1980.95</v>
      </c>
      <c r="I272" t="s">
        <v>25</v>
      </c>
      <c r="J272" t="s">
        <v>11</v>
      </c>
      <c r="K272" t="s">
        <v>16</v>
      </c>
    </row>
    <row r="273" spans="1:11" x14ac:dyDescent="0.25">
      <c r="A273" t="s">
        <v>877</v>
      </c>
      <c r="B273" t="s">
        <v>287</v>
      </c>
      <c r="C273" t="s">
        <v>878</v>
      </c>
      <c r="D273">
        <v>704650325</v>
      </c>
      <c r="E273" t="s">
        <v>13</v>
      </c>
      <c r="F273" s="1">
        <v>45643</v>
      </c>
      <c r="G273" t="s">
        <v>35</v>
      </c>
      <c r="H273" s="2">
        <v>290.89</v>
      </c>
      <c r="I273" t="s">
        <v>25</v>
      </c>
      <c r="J273" t="s">
        <v>36</v>
      </c>
      <c r="K273" t="s">
        <v>16</v>
      </c>
    </row>
    <row r="274" spans="1:11" x14ac:dyDescent="0.25">
      <c r="A274" t="s">
        <v>879</v>
      </c>
      <c r="B274" t="s">
        <v>358</v>
      </c>
      <c r="C274" t="s">
        <v>880</v>
      </c>
      <c r="D274">
        <v>690754330</v>
      </c>
      <c r="E274" t="s">
        <v>9</v>
      </c>
      <c r="F274" s="1">
        <v>45460</v>
      </c>
      <c r="G274" t="s">
        <v>423</v>
      </c>
      <c r="H274" s="2">
        <v>705.09</v>
      </c>
      <c r="I274" t="s">
        <v>507</v>
      </c>
      <c r="J274" t="s">
        <v>33</v>
      </c>
      <c r="K274" t="s">
        <v>16</v>
      </c>
    </row>
    <row r="275" spans="1:11" x14ac:dyDescent="0.25">
      <c r="A275" t="s">
        <v>606</v>
      </c>
      <c r="B275" t="s">
        <v>75</v>
      </c>
      <c r="C275" t="s">
        <v>607</v>
      </c>
      <c r="D275">
        <v>701371902</v>
      </c>
      <c r="E275" t="s">
        <v>9</v>
      </c>
      <c r="F275" s="1">
        <v>45265</v>
      </c>
      <c r="G275" t="s">
        <v>39</v>
      </c>
      <c r="H275" s="2">
        <v>157.69</v>
      </c>
      <c r="I275" t="s">
        <v>25</v>
      </c>
      <c r="J275" t="s">
        <v>22</v>
      </c>
      <c r="K275" t="s">
        <v>16</v>
      </c>
    </row>
    <row r="276" spans="1:11" x14ac:dyDescent="0.25">
      <c r="A276" t="s">
        <v>808</v>
      </c>
      <c r="B276" t="s">
        <v>578</v>
      </c>
      <c r="C276" t="s">
        <v>809</v>
      </c>
      <c r="D276">
        <v>741558653</v>
      </c>
      <c r="E276" t="s">
        <v>9</v>
      </c>
      <c r="F276" s="1">
        <v>45246</v>
      </c>
      <c r="G276" t="s">
        <v>14</v>
      </c>
      <c r="H276" s="2">
        <v>481.07</v>
      </c>
      <c r="I276" t="s">
        <v>25</v>
      </c>
      <c r="J276" t="s">
        <v>36</v>
      </c>
      <c r="K276" t="s">
        <v>16</v>
      </c>
    </row>
    <row r="277" spans="1:11" x14ac:dyDescent="0.25">
      <c r="A277" t="s">
        <v>881</v>
      </c>
      <c r="B277" t="s">
        <v>123</v>
      </c>
      <c r="C277" t="s">
        <v>882</v>
      </c>
      <c r="D277">
        <v>728581458</v>
      </c>
      <c r="E277" t="s">
        <v>9</v>
      </c>
      <c r="F277" s="1">
        <v>45801</v>
      </c>
      <c r="G277" t="s">
        <v>35</v>
      </c>
      <c r="H277" s="2">
        <v>1384.43</v>
      </c>
      <c r="I277" t="s">
        <v>25</v>
      </c>
      <c r="J277" t="s">
        <v>33</v>
      </c>
      <c r="K277" t="s">
        <v>16</v>
      </c>
    </row>
    <row r="278" spans="1:11" x14ac:dyDescent="0.25">
      <c r="A278" t="s">
        <v>424</v>
      </c>
      <c r="B278" t="s">
        <v>137</v>
      </c>
      <c r="C278" t="s">
        <v>425</v>
      </c>
      <c r="D278">
        <v>733868257</v>
      </c>
      <c r="E278" t="s">
        <v>18</v>
      </c>
      <c r="F278" s="1">
        <v>45450</v>
      </c>
      <c r="G278" t="s">
        <v>415</v>
      </c>
      <c r="H278" s="2">
        <v>1553.49</v>
      </c>
      <c r="I278" t="s">
        <v>25</v>
      </c>
      <c r="J278" t="s">
        <v>11</v>
      </c>
      <c r="K278" t="s">
        <v>12</v>
      </c>
    </row>
    <row r="279" spans="1:11" x14ac:dyDescent="0.25">
      <c r="A279" t="s">
        <v>883</v>
      </c>
      <c r="B279" t="s">
        <v>335</v>
      </c>
      <c r="C279" t="s">
        <v>884</v>
      </c>
      <c r="D279">
        <v>707057282</v>
      </c>
      <c r="E279" t="s">
        <v>13</v>
      </c>
      <c r="F279" s="1">
        <v>45801</v>
      </c>
      <c r="G279" t="s">
        <v>24</v>
      </c>
      <c r="H279" s="2">
        <v>500.91</v>
      </c>
      <c r="I279" t="s">
        <v>507</v>
      </c>
      <c r="J279" t="s">
        <v>33</v>
      </c>
      <c r="K279" t="s">
        <v>16</v>
      </c>
    </row>
    <row r="280" spans="1:11" x14ac:dyDescent="0.25">
      <c r="A280" t="s">
        <v>885</v>
      </c>
      <c r="B280" t="s">
        <v>30</v>
      </c>
      <c r="C280" t="s">
        <v>886</v>
      </c>
      <c r="D280">
        <v>740872409</v>
      </c>
      <c r="E280" t="s">
        <v>18</v>
      </c>
      <c r="F280" s="1">
        <v>45551</v>
      </c>
      <c r="G280" t="s">
        <v>32</v>
      </c>
      <c r="H280" s="2">
        <v>1421.22</v>
      </c>
      <c r="I280" t="s">
        <v>25</v>
      </c>
      <c r="J280" t="s">
        <v>11</v>
      </c>
      <c r="K280" t="s">
        <v>16</v>
      </c>
    </row>
    <row r="281" spans="1:11" x14ac:dyDescent="0.25">
      <c r="A281" t="s">
        <v>887</v>
      </c>
      <c r="B281" t="s">
        <v>151</v>
      </c>
      <c r="C281" t="s">
        <v>888</v>
      </c>
      <c r="D281">
        <v>924134952</v>
      </c>
      <c r="E281" t="s">
        <v>18</v>
      </c>
      <c r="F281" s="1">
        <v>45236</v>
      </c>
      <c r="G281" t="s">
        <v>412</v>
      </c>
      <c r="H281" s="2">
        <v>289.08999999999997</v>
      </c>
      <c r="I281" t="s">
        <v>25</v>
      </c>
      <c r="J281" t="s">
        <v>11</v>
      </c>
      <c r="K281" t="s">
        <v>16</v>
      </c>
    </row>
    <row r="282" spans="1:11" x14ac:dyDescent="0.25">
      <c r="A282" t="s">
        <v>562</v>
      </c>
      <c r="B282" t="s">
        <v>356</v>
      </c>
      <c r="C282" t="s">
        <v>563</v>
      </c>
      <c r="D282">
        <v>747024959</v>
      </c>
      <c r="E282" t="s">
        <v>18</v>
      </c>
      <c r="F282" s="1">
        <v>45212</v>
      </c>
      <c r="G282" t="s">
        <v>32</v>
      </c>
      <c r="H282" s="2">
        <v>543.98</v>
      </c>
      <c r="I282" t="s">
        <v>25</v>
      </c>
      <c r="J282" t="s">
        <v>11</v>
      </c>
      <c r="K282" t="s">
        <v>12</v>
      </c>
    </row>
    <row r="283" spans="1:11" x14ac:dyDescent="0.25">
      <c r="A283" t="s">
        <v>597</v>
      </c>
      <c r="B283" t="s">
        <v>171</v>
      </c>
      <c r="C283" t="s">
        <v>598</v>
      </c>
      <c r="D283">
        <v>733027275</v>
      </c>
      <c r="E283" t="s">
        <v>18</v>
      </c>
      <c r="F283" s="1">
        <v>45572</v>
      </c>
      <c r="G283" t="s">
        <v>19</v>
      </c>
      <c r="H283" s="2">
        <v>20.11</v>
      </c>
      <c r="I283" t="s">
        <v>25</v>
      </c>
      <c r="J283" t="s">
        <v>11</v>
      </c>
      <c r="K283" t="s">
        <v>12</v>
      </c>
    </row>
    <row r="284" spans="1:11" x14ac:dyDescent="0.25">
      <c r="A284" t="s">
        <v>566</v>
      </c>
      <c r="B284" t="s">
        <v>321</v>
      </c>
      <c r="C284" t="s">
        <v>567</v>
      </c>
      <c r="D284">
        <v>701055024</v>
      </c>
      <c r="E284" t="s">
        <v>9</v>
      </c>
      <c r="F284" s="1">
        <v>45471</v>
      </c>
      <c r="G284" t="s">
        <v>518</v>
      </c>
      <c r="H284" s="2">
        <v>431.72</v>
      </c>
      <c r="I284" t="s">
        <v>25</v>
      </c>
      <c r="J284" t="s">
        <v>22</v>
      </c>
      <c r="K284" t="s">
        <v>12</v>
      </c>
    </row>
    <row r="285" spans="1:11" x14ac:dyDescent="0.25">
      <c r="A285" t="s">
        <v>889</v>
      </c>
      <c r="B285" t="s">
        <v>49</v>
      </c>
      <c r="C285" t="s">
        <v>890</v>
      </c>
      <c r="D285">
        <v>651438049</v>
      </c>
      <c r="E285" t="s">
        <v>9</v>
      </c>
      <c r="F285" s="1">
        <v>45317</v>
      </c>
      <c r="G285" t="s">
        <v>35</v>
      </c>
      <c r="H285" s="2">
        <v>1948.2</v>
      </c>
      <c r="I285" t="s">
        <v>25</v>
      </c>
      <c r="J285" t="s">
        <v>22</v>
      </c>
      <c r="K285" t="s">
        <v>16</v>
      </c>
    </row>
    <row r="286" spans="1:11" x14ac:dyDescent="0.25">
      <c r="A286" t="s">
        <v>872</v>
      </c>
      <c r="B286" t="s">
        <v>873</v>
      </c>
      <c r="C286" t="s">
        <v>874</v>
      </c>
      <c r="D286">
        <v>733766125</v>
      </c>
      <c r="E286" t="s">
        <v>9</v>
      </c>
      <c r="F286" s="1">
        <v>45867</v>
      </c>
      <c r="G286" t="s">
        <v>415</v>
      </c>
      <c r="H286" s="2">
        <v>764.91</v>
      </c>
      <c r="I286" t="s">
        <v>25</v>
      </c>
      <c r="J286" t="s">
        <v>11</v>
      </c>
      <c r="K286" t="s">
        <v>12</v>
      </c>
    </row>
    <row r="287" spans="1:11" x14ac:dyDescent="0.25">
      <c r="A287" t="s">
        <v>891</v>
      </c>
      <c r="B287" t="s">
        <v>892</v>
      </c>
      <c r="C287" t="s">
        <v>893</v>
      </c>
      <c r="D287">
        <v>644562274</v>
      </c>
      <c r="E287" t="s">
        <v>9</v>
      </c>
      <c r="F287" s="1">
        <v>45296</v>
      </c>
      <c r="G287" t="s">
        <v>415</v>
      </c>
      <c r="H287" s="2">
        <v>1952.02</v>
      </c>
      <c r="I287" t="s">
        <v>444</v>
      </c>
      <c r="J287" t="s">
        <v>22</v>
      </c>
      <c r="K287" t="s">
        <v>12</v>
      </c>
    </row>
    <row r="288" spans="1:11" x14ac:dyDescent="0.25">
      <c r="A288" t="s">
        <v>894</v>
      </c>
      <c r="B288" t="s">
        <v>895</v>
      </c>
      <c r="C288" t="s">
        <v>896</v>
      </c>
      <c r="D288">
        <v>748416256</v>
      </c>
      <c r="E288" t="s">
        <v>9</v>
      </c>
      <c r="F288" s="1">
        <v>45360</v>
      </c>
      <c r="G288" t="s">
        <v>418</v>
      </c>
      <c r="H288" s="2">
        <v>1657.36</v>
      </c>
      <c r="I288" t="s">
        <v>25</v>
      </c>
      <c r="J288" t="s">
        <v>33</v>
      </c>
      <c r="K288" t="s">
        <v>12</v>
      </c>
    </row>
    <row r="289" spans="1:11" x14ac:dyDescent="0.25">
      <c r="A289" t="s">
        <v>897</v>
      </c>
      <c r="B289" t="s">
        <v>79</v>
      </c>
      <c r="C289" t="s">
        <v>898</v>
      </c>
      <c r="D289">
        <v>742875737</v>
      </c>
      <c r="E289" t="s">
        <v>9</v>
      </c>
      <c r="F289" s="1">
        <v>45272</v>
      </c>
      <c r="G289" t="s">
        <v>423</v>
      </c>
      <c r="H289" s="2">
        <v>837.56</v>
      </c>
      <c r="I289" t="s">
        <v>25</v>
      </c>
      <c r="J289" t="s">
        <v>33</v>
      </c>
      <c r="K289" t="s">
        <v>16</v>
      </c>
    </row>
    <row r="290" spans="1:11" x14ac:dyDescent="0.25">
      <c r="A290" t="s">
        <v>754</v>
      </c>
      <c r="B290" t="s">
        <v>307</v>
      </c>
      <c r="C290" t="s">
        <v>755</v>
      </c>
      <c r="D290">
        <v>726605821</v>
      </c>
      <c r="E290" t="s">
        <v>18</v>
      </c>
      <c r="F290" s="1">
        <v>45439</v>
      </c>
      <c r="G290" t="s">
        <v>24</v>
      </c>
      <c r="H290" s="2">
        <v>1404.6</v>
      </c>
      <c r="I290" t="s">
        <v>25</v>
      </c>
      <c r="J290" t="s">
        <v>26</v>
      </c>
      <c r="K290" t="s">
        <v>12</v>
      </c>
    </row>
    <row r="291" spans="1:11" x14ac:dyDescent="0.25">
      <c r="A291" t="s">
        <v>899</v>
      </c>
      <c r="B291" t="s">
        <v>53</v>
      </c>
      <c r="C291" t="s">
        <v>900</v>
      </c>
      <c r="D291">
        <v>728737230</v>
      </c>
      <c r="E291" t="s">
        <v>18</v>
      </c>
      <c r="F291" s="1">
        <v>45192</v>
      </c>
      <c r="G291" t="s">
        <v>32</v>
      </c>
      <c r="H291" s="2">
        <v>558.54</v>
      </c>
      <c r="I291" t="s">
        <v>25</v>
      </c>
      <c r="J291" t="s">
        <v>36</v>
      </c>
      <c r="K291" t="s">
        <v>16</v>
      </c>
    </row>
    <row r="292" spans="1:11" x14ac:dyDescent="0.25">
      <c r="A292" t="s">
        <v>901</v>
      </c>
      <c r="B292" t="s">
        <v>267</v>
      </c>
      <c r="C292" t="s">
        <v>902</v>
      </c>
      <c r="D292">
        <v>741519428</v>
      </c>
      <c r="E292" t="s">
        <v>9</v>
      </c>
      <c r="F292" s="1">
        <v>45753</v>
      </c>
      <c r="G292" t="s">
        <v>35</v>
      </c>
      <c r="H292" s="2">
        <v>171.59</v>
      </c>
      <c r="I292" t="s">
        <v>25</v>
      </c>
      <c r="J292" t="s">
        <v>22</v>
      </c>
      <c r="K292" t="s">
        <v>12</v>
      </c>
    </row>
    <row r="293" spans="1:11" x14ac:dyDescent="0.25">
      <c r="A293" t="s">
        <v>713</v>
      </c>
      <c r="B293" t="s">
        <v>82</v>
      </c>
      <c r="C293" t="s">
        <v>714</v>
      </c>
      <c r="D293">
        <v>708352673</v>
      </c>
      <c r="E293" t="s">
        <v>9</v>
      </c>
      <c r="F293" s="1">
        <v>45545</v>
      </c>
      <c r="G293" t="s">
        <v>14</v>
      </c>
      <c r="H293" s="2">
        <v>857.91</v>
      </c>
      <c r="I293" t="s">
        <v>25</v>
      </c>
      <c r="J293" t="s">
        <v>22</v>
      </c>
      <c r="K293" t="s">
        <v>16</v>
      </c>
    </row>
    <row r="294" spans="1:11" x14ac:dyDescent="0.25">
      <c r="A294" t="s">
        <v>903</v>
      </c>
      <c r="B294" t="s">
        <v>113</v>
      </c>
      <c r="C294" t="s">
        <v>904</v>
      </c>
      <c r="D294">
        <v>680373214</v>
      </c>
      <c r="E294" t="s">
        <v>9</v>
      </c>
      <c r="F294" s="1">
        <v>45288</v>
      </c>
      <c r="G294" t="s">
        <v>21</v>
      </c>
      <c r="H294" s="2">
        <v>941.64</v>
      </c>
      <c r="I294" t="s">
        <v>25</v>
      </c>
      <c r="J294" t="s">
        <v>22</v>
      </c>
      <c r="K294" t="s">
        <v>12</v>
      </c>
    </row>
    <row r="295" spans="1:11" x14ac:dyDescent="0.25">
      <c r="A295" t="s">
        <v>905</v>
      </c>
      <c r="B295" t="s">
        <v>275</v>
      </c>
      <c r="C295" t="s">
        <v>906</v>
      </c>
      <c r="D295">
        <v>907022641</v>
      </c>
      <c r="E295" t="s">
        <v>9</v>
      </c>
      <c r="F295" s="1">
        <v>45423</v>
      </c>
      <c r="G295" t="s">
        <v>21</v>
      </c>
      <c r="H295" s="2">
        <v>1555.94</v>
      </c>
      <c r="I295" t="s">
        <v>25</v>
      </c>
      <c r="J295" t="s">
        <v>26</v>
      </c>
      <c r="K295" t="s">
        <v>16</v>
      </c>
    </row>
    <row r="296" spans="1:11" x14ac:dyDescent="0.25">
      <c r="A296" t="s">
        <v>907</v>
      </c>
      <c r="B296" t="s">
        <v>316</v>
      </c>
      <c r="C296" t="s">
        <v>908</v>
      </c>
      <c r="D296">
        <v>728299934</v>
      </c>
      <c r="E296" t="s">
        <v>9</v>
      </c>
      <c r="F296" s="1">
        <v>45832</v>
      </c>
      <c r="G296" t="s">
        <v>624</v>
      </c>
      <c r="H296" s="2">
        <v>988.63</v>
      </c>
      <c r="I296" t="s">
        <v>25</v>
      </c>
      <c r="J296" t="s">
        <v>11</v>
      </c>
      <c r="K296" t="s">
        <v>16</v>
      </c>
    </row>
    <row r="297" spans="1:11" x14ac:dyDescent="0.25">
      <c r="A297" t="s">
        <v>856</v>
      </c>
      <c r="B297" t="s">
        <v>97</v>
      </c>
      <c r="C297" t="s">
        <v>857</v>
      </c>
      <c r="D297">
        <v>748297259</v>
      </c>
      <c r="E297" t="s">
        <v>9</v>
      </c>
      <c r="F297" s="1">
        <v>45765</v>
      </c>
      <c r="G297" t="s">
        <v>35</v>
      </c>
      <c r="H297" s="2">
        <v>95.51</v>
      </c>
      <c r="I297" t="s">
        <v>25</v>
      </c>
      <c r="J297" t="s">
        <v>33</v>
      </c>
      <c r="K297" t="s">
        <v>12</v>
      </c>
    </row>
    <row r="298" spans="1:11" x14ac:dyDescent="0.25">
      <c r="A298" t="s">
        <v>909</v>
      </c>
      <c r="B298" t="s">
        <v>284</v>
      </c>
      <c r="C298" t="s">
        <v>910</v>
      </c>
      <c r="D298">
        <v>707714744</v>
      </c>
      <c r="E298" t="s">
        <v>13</v>
      </c>
      <c r="F298" s="1">
        <v>45858</v>
      </c>
      <c r="G298" t="s">
        <v>451</v>
      </c>
      <c r="H298" s="2">
        <v>1862.93</v>
      </c>
      <c r="I298" t="s">
        <v>25</v>
      </c>
      <c r="J298" t="s">
        <v>11</v>
      </c>
      <c r="K298" t="s">
        <v>12</v>
      </c>
    </row>
    <row r="299" spans="1:11" x14ac:dyDescent="0.25">
      <c r="A299" t="s">
        <v>911</v>
      </c>
      <c r="B299" t="s">
        <v>397</v>
      </c>
      <c r="C299" t="s">
        <v>912</v>
      </c>
      <c r="D299">
        <v>741356026</v>
      </c>
      <c r="E299" t="s">
        <v>9</v>
      </c>
      <c r="F299" s="1">
        <v>45499</v>
      </c>
      <c r="G299" t="s">
        <v>478</v>
      </c>
      <c r="H299" s="2">
        <v>1748.85</v>
      </c>
      <c r="I299" t="s">
        <v>25</v>
      </c>
      <c r="J299" t="s">
        <v>22</v>
      </c>
      <c r="K299" t="s">
        <v>16</v>
      </c>
    </row>
    <row r="300" spans="1:11" x14ac:dyDescent="0.25">
      <c r="A300" t="s">
        <v>870</v>
      </c>
      <c r="B300" t="s">
        <v>89</v>
      </c>
      <c r="C300" t="s">
        <v>871</v>
      </c>
      <c r="D300">
        <v>728307481</v>
      </c>
      <c r="E300" t="s">
        <v>9</v>
      </c>
      <c r="F300" s="1">
        <v>45886</v>
      </c>
      <c r="G300" t="s">
        <v>14</v>
      </c>
      <c r="H300" s="2">
        <v>693.25</v>
      </c>
      <c r="I300" t="s">
        <v>25</v>
      </c>
      <c r="J300" t="s">
        <v>33</v>
      </c>
      <c r="K300" t="s">
        <v>16</v>
      </c>
    </row>
    <row r="301" spans="1:11" x14ac:dyDescent="0.25">
      <c r="A301" t="s">
        <v>492</v>
      </c>
      <c r="B301" t="s">
        <v>312</v>
      </c>
      <c r="C301" t="s">
        <v>493</v>
      </c>
      <c r="D301">
        <v>888046669</v>
      </c>
      <c r="E301" t="s">
        <v>18</v>
      </c>
      <c r="F301" s="1">
        <v>45202</v>
      </c>
      <c r="G301" t="s">
        <v>443</v>
      </c>
      <c r="H301" s="2">
        <v>1922.18</v>
      </c>
      <c r="I301" t="s">
        <v>25</v>
      </c>
      <c r="J301" t="s">
        <v>11</v>
      </c>
      <c r="K301" t="s">
        <v>16</v>
      </c>
    </row>
    <row r="302" spans="1:11" x14ac:dyDescent="0.25">
      <c r="A302" t="s">
        <v>913</v>
      </c>
      <c r="B302" t="s">
        <v>104</v>
      </c>
      <c r="C302" t="s">
        <v>914</v>
      </c>
      <c r="D302">
        <v>725307458</v>
      </c>
      <c r="E302" t="s">
        <v>9</v>
      </c>
      <c r="F302" s="1">
        <v>45508</v>
      </c>
      <c r="G302" t="s">
        <v>478</v>
      </c>
      <c r="H302" s="2">
        <v>545.24</v>
      </c>
      <c r="I302" t="s">
        <v>25</v>
      </c>
      <c r="J302" t="s">
        <v>33</v>
      </c>
      <c r="K302" t="s">
        <v>16</v>
      </c>
    </row>
    <row r="303" spans="1:11" x14ac:dyDescent="0.25">
      <c r="A303" t="s">
        <v>473</v>
      </c>
      <c r="B303" t="s">
        <v>242</v>
      </c>
      <c r="C303" t="s">
        <v>474</v>
      </c>
      <c r="D303">
        <v>723510058</v>
      </c>
      <c r="E303" t="s">
        <v>18</v>
      </c>
      <c r="F303" s="1">
        <v>45692</v>
      </c>
      <c r="G303" t="s">
        <v>475</v>
      </c>
      <c r="H303" s="2">
        <v>10.27</v>
      </c>
      <c r="I303" t="s">
        <v>25</v>
      </c>
      <c r="J303" t="s">
        <v>11</v>
      </c>
      <c r="K303" t="s">
        <v>16</v>
      </c>
    </row>
    <row r="304" spans="1:11" x14ac:dyDescent="0.25">
      <c r="A304" t="s">
        <v>599</v>
      </c>
      <c r="B304" t="s">
        <v>329</v>
      </c>
      <c r="C304" t="s">
        <v>600</v>
      </c>
      <c r="D304">
        <v>730479253</v>
      </c>
      <c r="E304" t="s">
        <v>18</v>
      </c>
      <c r="F304" s="1">
        <v>45698</v>
      </c>
      <c r="G304" t="s">
        <v>443</v>
      </c>
      <c r="H304" s="2">
        <v>584.36</v>
      </c>
      <c r="I304" t="s">
        <v>444</v>
      </c>
      <c r="J304" t="s">
        <v>33</v>
      </c>
      <c r="K304" t="s">
        <v>16</v>
      </c>
    </row>
    <row r="305" spans="1:11" x14ac:dyDescent="0.25">
      <c r="A305" t="s">
        <v>915</v>
      </c>
      <c r="B305" t="s">
        <v>300</v>
      </c>
      <c r="C305" t="s">
        <v>916</v>
      </c>
      <c r="D305">
        <v>738611121</v>
      </c>
      <c r="E305" t="s">
        <v>9</v>
      </c>
      <c r="F305" s="1">
        <v>45368</v>
      </c>
      <c r="G305" t="s">
        <v>506</v>
      </c>
      <c r="H305" s="2">
        <v>1337.14</v>
      </c>
      <c r="I305" t="s">
        <v>444</v>
      </c>
      <c r="J305" t="s">
        <v>33</v>
      </c>
      <c r="K305" t="s">
        <v>16</v>
      </c>
    </row>
    <row r="306" spans="1:11" x14ac:dyDescent="0.25">
      <c r="A306" t="s">
        <v>917</v>
      </c>
      <c r="B306" t="s">
        <v>128</v>
      </c>
      <c r="C306" t="s">
        <v>918</v>
      </c>
      <c r="D306">
        <v>645035419</v>
      </c>
      <c r="E306" t="s">
        <v>9</v>
      </c>
      <c r="F306" s="1">
        <v>45638</v>
      </c>
      <c r="G306" t="s">
        <v>24</v>
      </c>
      <c r="H306" s="2">
        <v>245.85</v>
      </c>
      <c r="I306" t="s">
        <v>25</v>
      </c>
      <c r="J306" t="s">
        <v>22</v>
      </c>
      <c r="K306" t="s">
        <v>16</v>
      </c>
    </row>
    <row r="307" spans="1:11" x14ac:dyDescent="0.25">
      <c r="A307" t="s">
        <v>778</v>
      </c>
      <c r="B307" t="s">
        <v>162</v>
      </c>
      <c r="C307" t="s">
        <v>779</v>
      </c>
      <c r="D307">
        <v>859523189</v>
      </c>
      <c r="E307" t="s">
        <v>9</v>
      </c>
      <c r="F307" s="1">
        <v>45202</v>
      </c>
      <c r="G307" t="s">
        <v>19</v>
      </c>
      <c r="H307" s="2">
        <v>1673.74</v>
      </c>
      <c r="I307" t="s">
        <v>25</v>
      </c>
      <c r="J307" t="s">
        <v>22</v>
      </c>
      <c r="K307" t="s">
        <v>16</v>
      </c>
    </row>
    <row r="308" spans="1:11" x14ac:dyDescent="0.25">
      <c r="A308" t="s">
        <v>919</v>
      </c>
      <c r="B308" t="s">
        <v>338</v>
      </c>
      <c r="C308" t="s">
        <v>920</v>
      </c>
      <c r="D308">
        <v>650924818</v>
      </c>
      <c r="E308" t="s">
        <v>18</v>
      </c>
      <c r="F308" s="1">
        <v>45865</v>
      </c>
      <c r="G308" t="s">
        <v>19</v>
      </c>
      <c r="H308" s="2">
        <v>1247.3900000000001</v>
      </c>
      <c r="I308" t="s">
        <v>25</v>
      </c>
      <c r="J308" t="s">
        <v>11</v>
      </c>
      <c r="K308" t="s">
        <v>16</v>
      </c>
    </row>
    <row r="309" spans="1:11" x14ac:dyDescent="0.25">
      <c r="A309" t="s">
        <v>673</v>
      </c>
      <c r="B309" t="s">
        <v>331</v>
      </c>
      <c r="C309" t="s">
        <v>674</v>
      </c>
      <c r="D309">
        <v>708260146</v>
      </c>
      <c r="E309" t="s">
        <v>13</v>
      </c>
      <c r="F309" s="1">
        <v>45343</v>
      </c>
      <c r="G309" t="s">
        <v>10</v>
      </c>
      <c r="H309" s="2">
        <v>789.31</v>
      </c>
      <c r="I309" t="s">
        <v>25</v>
      </c>
      <c r="J309" t="s">
        <v>22</v>
      </c>
      <c r="K309" t="s">
        <v>12</v>
      </c>
    </row>
    <row r="310" spans="1:11" x14ac:dyDescent="0.25">
      <c r="A310" t="s">
        <v>434</v>
      </c>
      <c r="B310" t="s">
        <v>379</v>
      </c>
      <c r="C310" t="s">
        <v>435</v>
      </c>
      <c r="D310">
        <v>740994031</v>
      </c>
      <c r="E310" t="s">
        <v>18</v>
      </c>
      <c r="F310" s="1">
        <v>45885</v>
      </c>
      <c r="G310" t="s">
        <v>423</v>
      </c>
      <c r="H310" s="2">
        <v>1471.5</v>
      </c>
      <c r="I310" t="s">
        <v>25</v>
      </c>
      <c r="J310" t="s">
        <v>15</v>
      </c>
      <c r="K310" t="s">
        <v>12</v>
      </c>
    </row>
    <row r="311" spans="1:11" x14ac:dyDescent="0.25">
      <c r="A311" t="s">
        <v>697</v>
      </c>
      <c r="B311" t="s">
        <v>293</v>
      </c>
      <c r="C311" t="s">
        <v>698</v>
      </c>
      <c r="D311">
        <v>704058112</v>
      </c>
      <c r="E311" t="s">
        <v>18</v>
      </c>
      <c r="F311" s="1">
        <v>45530</v>
      </c>
      <c r="G311" t="s">
        <v>412</v>
      </c>
      <c r="H311" s="2">
        <v>836.58</v>
      </c>
      <c r="I311" t="s">
        <v>25</v>
      </c>
      <c r="J311" t="s">
        <v>11</v>
      </c>
      <c r="K311" t="s">
        <v>12</v>
      </c>
    </row>
    <row r="312" spans="1:11" x14ac:dyDescent="0.25">
      <c r="A312" t="s">
        <v>921</v>
      </c>
      <c r="B312" t="s">
        <v>922</v>
      </c>
      <c r="C312" t="s">
        <v>923</v>
      </c>
      <c r="D312">
        <v>722992018</v>
      </c>
      <c r="E312" t="s">
        <v>9</v>
      </c>
      <c r="F312" s="1">
        <v>45262</v>
      </c>
      <c r="G312" t="s">
        <v>460</v>
      </c>
      <c r="H312" s="2">
        <v>1671.64</v>
      </c>
      <c r="I312" t="s">
        <v>25</v>
      </c>
      <c r="J312" t="s">
        <v>11</v>
      </c>
      <c r="K312" t="s">
        <v>16</v>
      </c>
    </row>
    <row r="313" spans="1:11" x14ac:dyDescent="0.25">
      <c r="A313" t="s">
        <v>421</v>
      </c>
      <c r="B313" t="s">
        <v>336</v>
      </c>
      <c r="C313" t="s">
        <v>422</v>
      </c>
      <c r="D313">
        <v>722114878</v>
      </c>
      <c r="E313" t="s">
        <v>9</v>
      </c>
      <c r="F313" s="1">
        <v>45333</v>
      </c>
      <c r="G313" t="s">
        <v>423</v>
      </c>
      <c r="H313" s="2">
        <v>968.47</v>
      </c>
      <c r="I313" t="s">
        <v>25</v>
      </c>
      <c r="J313" t="s">
        <v>15</v>
      </c>
      <c r="K313" t="s">
        <v>16</v>
      </c>
    </row>
    <row r="314" spans="1:11" x14ac:dyDescent="0.25">
      <c r="A314" t="s">
        <v>924</v>
      </c>
      <c r="B314" t="s">
        <v>346</v>
      </c>
      <c r="C314" t="s">
        <v>925</v>
      </c>
      <c r="D314">
        <v>718475072</v>
      </c>
      <c r="E314" t="s">
        <v>18</v>
      </c>
      <c r="F314" s="1">
        <v>45210</v>
      </c>
      <c r="G314" t="s">
        <v>451</v>
      </c>
      <c r="H314" s="2">
        <v>614.21</v>
      </c>
      <c r="I314" t="s">
        <v>25</v>
      </c>
      <c r="J314" t="s">
        <v>11</v>
      </c>
      <c r="K314" t="s">
        <v>12</v>
      </c>
    </row>
    <row r="315" spans="1:11" x14ac:dyDescent="0.25">
      <c r="A315" t="s">
        <v>926</v>
      </c>
      <c r="B315" t="s">
        <v>178</v>
      </c>
      <c r="C315" t="s">
        <v>927</v>
      </c>
      <c r="D315">
        <v>708355930</v>
      </c>
      <c r="E315" t="s">
        <v>9</v>
      </c>
      <c r="F315" s="1">
        <v>45436</v>
      </c>
      <c r="G315" t="s">
        <v>24</v>
      </c>
      <c r="H315" s="2">
        <v>1269.75</v>
      </c>
      <c r="I315" t="s">
        <v>25</v>
      </c>
      <c r="J315" t="s">
        <v>11</v>
      </c>
      <c r="K315" t="s">
        <v>16</v>
      </c>
    </row>
    <row r="316" spans="1:11" x14ac:dyDescent="0.25">
      <c r="A316" t="s">
        <v>928</v>
      </c>
      <c r="B316" t="s">
        <v>141</v>
      </c>
      <c r="C316" t="s">
        <v>929</v>
      </c>
      <c r="D316">
        <v>737596279</v>
      </c>
      <c r="E316" t="s">
        <v>9</v>
      </c>
      <c r="F316" s="1">
        <v>45372</v>
      </c>
      <c r="G316" t="s">
        <v>603</v>
      </c>
      <c r="H316" s="2">
        <v>610.92999999999995</v>
      </c>
      <c r="I316" t="s">
        <v>25</v>
      </c>
      <c r="J316" t="s">
        <v>11</v>
      </c>
      <c r="K316" t="s">
        <v>12</v>
      </c>
    </row>
    <row r="317" spans="1:11" x14ac:dyDescent="0.25">
      <c r="A317" t="s">
        <v>930</v>
      </c>
      <c r="B317" t="s">
        <v>354</v>
      </c>
      <c r="C317" t="s">
        <v>931</v>
      </c>
      <c r="D317">
        <v>723693491</v>
      </c>
      <c r="E317" t="s">
        <v>9</v>
      </c>
      <c r="F317" s="1">
        <v>45614</v>
      </c>
      <c r="G317" t="s">
        <v>47</v>
      </c>
      <c r="H317" s="2">
        <v>821.19</v>
      </c>
      <c r="I317" t="s">
        <v>25</v>
      </c>
      <c r="J317" t="s">
        <v>22</v>
      </c>
      <c r="K317" t="s">
        <v>12</v>
      </c>
    </row>
    <row r="318" spans="1:11" x14ac:dyDescent="0.25">
      <c r="A318" t="s">
        <v>504</v>
      </c>
      <c r="B318" t="s">
        <v>178</v>
      </c>
      <c r="C318" t="s">
        <v>505</v>
      </c>
      <c r="D318">
        <v>733805530</v>
      </c>
      <c r="E318" t="s">
        <v>18</v>
      </c>
      <c r="F318" s="1">
        <v>45217</v>
      </c>
      <c r="G318" t="s">
        <v>506</v>
      </c>
      <c r="H318" s="2">
        <v>1055.8699999999999</v>
      </c>
      <c r="I318" t="s">
        <v>444</v>
      </c>
      <c r="J318" t="s">
        <v>11</v>
      </c>
      <c r="K318" t="s">
        <v>12</v>
      </c>
    </row>
    <row r="319" spans="1:11" x14ac:dyDescent="0.25">
      <c r="A319" t="s">
        <v>614</v>
      </c>
      <c r="B319" t="s">
        <v>210</v>
      </c>
      <c r="C319" t="s">
        <v>615</v>
      </c>
      <c r="D319">
        <v>701528957</v>
      </c>
      <c r="E319" t="s">
        <v>18</v>
      </c>
      <c r="F319" s="1">
        <v>45248</v>
      </c>
      <c r="G319" t="s">
        <v>39</v>
      </c>
      <c r="H319" s="2">
        <v>546.24</v>
      </c>
      <c r="I319" t="s">
        <v>444</v>
      </c>
      <c r="J319" t="s">
        <v>36</v>
      </c>
      <c r="K319" t="s">
        <v>16</v>
      </c>
    </row>
    <row r="320" spans="1:11" x14ac:dyDescent="0.25">
      <c r="A320" t="s">
        <v>763</v>
      </c>
      <c r="B320" t="s">
        <v>343</v>
      </c>
      <c r="C320" t="s">
        <v>764</v>
      </c>
      <c r="D320">
        <v>679029843</v>
      </c>
      <c r="E320" t="s">
        <v>13</v>
      </c>
      <c r="F320" s="1">
        <v>45218</v>
      </c>
      <c r="G320" t="s">
        <v>475</v>
      </c>
      <c r="H320" s="2">
        <v>831.85</v>
      </c>
      <c r="I320" t="s">
        <v>25</v>
      </c>
      <c r="J320" t="s">
        <v>33</v>
      </c>
      <c r="K320" t="s">
        <v>16</v>
      </c>
    </row>
    <row r="321" spans="1:11" x14ac:dyDescent="0.25">
      <c r="A321" t="s">
        <v>707</v>
      </c>
      <c r="B321" t="s">
        <v>143</v>
      </c>
      <c r="C321" t="s">
        <v>708</v>
      </c>
      <c r="D321">
        <v>813178789</v>
      </c>
      <c r="E321" t="s">
        <v>18</v>
      </c>
      <c r="F321" s="1">
        <v>45424</v>
      </c>
      <c r="G321" t="s">
        <v>440</v>
      </c>
      <c r="H321" s="2">
        <v>1539.89</v>
      </c>
      <c r="I321" t="s">
        <v>25</v>
      </c>
      <c r="J321" t="s">
        <v>15</v>
      </c>
      <c r="K321" t="s">
        <v>12</v>
      </c>
    </row>
    <row r="322" spans="1:11" x14ac:dyDescent="0.25">
      <c r="A322" t="s">
        <v>820</v>
      </c>
      <c r="B322" t="s">
        <v>64</v>
      </c>
      <c r="C322" t="s">
        <v>821</v>
      </c>
      <c r="D322">
        <v>887900324</v>
      </c>
      <c r="E322" t="s">
        <v>9</v>
      </c>
      <c r="F322" s="1">
        <v>45399</v>
      </c>
      <c r="G322" t="s">
        <v>24</v>
      </c>
      <c r="H322" s="2">
        <v>1776.28</v>
      </c>
      <c r="I322" t="s">
        <v>25</v>
      </c>
      <c r="J322" t="s">
        <v>22</v>
      </c>
      <c r="K322" t="s">
        <v>12</v>
      </c>
    </row>
    <row r="323" spans="1:11" x14ac:dyDescent="0.25">
      <c r="A323" t="s">
        <v>591</v>
      </c>
      <c r="B323" t="s">
        <v>170</v>
      </c>
      <c r="C323" t="s">
        <v>592</v>
      </c>
      <c r="D323">
        <v>859697886</v>
      </c>
      <c r="E323" t="s">
        <v>9</v>
      </c>
      <c r="F323" s="1">
        <v>45504</v>
      </c>
      <c r="G323" t="s">
        <v>460</v>
      </c>
      <c r="H323" s="2">
        <v>1221.46</v>
      </c>
      <c r="I323" t="s">
        <v>25</v>
      </c>
      <c r="J323" t="s">
        <v>33</v>
      </c>
      <c r="K323" t="s">
        <v>12</v>
      </c>
    </row>
    <row r="324" spans="1:11" x14ac:dyDescent="0.25">
      <c r="A324" t="s">
        <v>932</v>
      </c>
      <c r="B324" t="s">
        <v>180</v>
      </c>
      <c r="C324" t="s">
        <v>933</v>
      </c>
      <c r="D324">
        <v>714298563</v>
      </c>
      <c r="E324" t="s">
        <v>9</v>
      </c>
      <c r="F324" s="1">
        <v>45225</v>
      </c>
      <c r="G324" t="s">
        <v>506</v>
      </c>
      <c r="H324" s="2">
        <v>618.71</v>
      </c>
      <c r="I324" t="s">
        <v>25</v>
      </c>
      <c r="J324" t="s">
        <v>22</v>
      </c>
      <c r="K324" t="s">
        <v>16</v>
      </c>
    </row>
    <row r="325" spans="1:11" x14ac:dyDescent="0.25">
      <c r="A325" t="s">
        <v>934</v>
      </c>
      <c r="B325" t="s">
        <v>935</v>
      </c>
      <c r="C325" t="s">
        <v>936</v>
      </c>
      <c r="D325">
        <v>744201404</v>
      </c>
      <c r="E325" t="s">
        <v>9</v>
      </c>
      <c r="F325" s="1">
        <v>45329</v>
      </c>
      <c r="G325" t="s">
        <v>29</v>
      </c>
      <c r="H325" s="2">
        <v>995.15</v>
      </c>
      <c r="I325" t="s">
        <v>25</v>
      </c>
      <c r="J325" t="s">
        <v>36</v>
      </c>
      <c r="K325" t="s">
        <v>16</v>
      </c>
    </row>
    <row r="326" spans="1:11" x14ac:dyDescent="0.25">
      <c r="A326" t="s">
        <v>937</v>
      </c>
      <c r="B326" t="s">
        <v>364</v>
      </c>
      <c r="C326" t="s">
        <v>938</v>
      </c>
      <c r="D326">
        <v>717190176</v>
      </c>
      <c r="E326" t="s">
        <v>9</v>
      </c>
      <c r="F326" s="1">
        <v>45799</v>
      </c>
      <c r="G326" t="s">
        <v>412</v>
      </c>
      <c r="H326" s="2">
        <v>1396.36</v>
      </c>
      <c r="I326" t="s">
        <v>25</v>
      </c>
      <c r="J326" t="s">
        <v>26</v>
      </c>
      <c r="K326" t="s">
        <v>16</v>
      </c>
    </row>
    <row r="327" spans="1:11" x14ac:dyDescent="0.25">
      <c r="A327" t="s">
        <v>633</v>
      </c>
      <c r="B327" t="s">
        <v>397</v>
      </c>
      <c r="C327" t="s">
        <v>634</v>
      </c>
      <c r="D327">
        <v>749804420</v>
      </c>
      <c r="E327" t="s">
        <v>18</v>
      </c>
      <c r="F327" s="1">
        <v>45550</v>
      </c>
      <c r="G327" t="s">
        <v>624</v>
      </c>
      <c r="H327" s="2">
        <v>1880.52</v>
      </c>
      <c r="I327" t="s">
        <v>25</v>
      </c>
      <c r="J327" t="s">
        <v>11</v>
      </c>
      <c r="K327" t="s">
        <v>12</v>
      </c>
    </row>
    <row r="328" spans="1:11" x14ac:dyDescent="0.25">
      <c r="A328" t="s">
        <v>804</v>
      </c>
      <c r="B328" t="s">
        <v>45</v>
      </c>
      <c r="C328" t="s">
        <v>805</v>
      </c>
      <c r="D328">
        <v>716908291</v>
      </c>
      <c r="E328" t="s">
        <v>9</v>
      </c>
      <c r="F328" s="1">
        <v>45367</v>
      </c>
      <c r="G328" t="s">
        <v>451</v>
      </c>
      <c r="H328" s="2">
        <v>1235.8800000000001</v>
      </c>
      <c r="I328" t="s">
        <v>25</v>
      </c>
      <c r="J328" t="s">
        <v>22</v>
      </c>
      <c r="K328" t="s">
        <v>12</v>
      </c>
    </row>
    <row r="329" spans="1:11" x14ac:dyDescent="0.25">
      <c r="A329" t="s">
        <v>939</v>
      </c>
      <c r="B329" t="s">
        <v>149</v>
      </c>
      <c r="C329" t="s">
        <v>940</v>
      </c>
      <c r="D329">
        <v>712646789</v>
      </c>
      <c r="E329" t="s">
        <v>9</v>
      </c>
      <c r="F329" s="1">
        <v>45763</v>
      </c>
      <c r="G329" t="s">
        <v>518</v>
      </c>
      <c r="H329" s="2">
        <v>1376.37</v>
      </c>
      <c r="I329" t="s">
        <v>444</v>
      </c>
      <c r="J329" t="s">
        <v>11</v>
      </c>
      <c r="K329" t="s">
        <v>12</v>
      </c>
    </row>
    <row r="330" spans="1:11" x14ac:dyDescent="0.25">
      <c r="A330" t="s">
        <v>941</v>
      </c>
      <c r="B330" t="s">
        <v>182</v>
      </c>
      <c r="C330" t="s">
        <v>942</v>
      </c>
      <c r="D330">
        <v>728722101</v>
      </c>
      <c r="E330" t="s">
        <v>9</v>
      </c>
      <c r="F330" s="1">
        <v>45838</v>
      </c>
      <c r="G330" t="s">
        <v>14</v>
      </c>
      <c r="H330" s="2">
        <v>1931.26</v>
      </c>
      <c r="I330" t="s">
        <v>25</v>
      </c>
      <c r="J330" t="s">
        <v>36</v>
      </c>
      <c r="K330" t="s">
        <v>12</v>
      </c>
    </row>
    <row r="331" spans="1:11" x14ac:dyDescent="0.25">
      <c r="A331" t="s">
        <v>593</v>
      </c>
      <c r="B331" t="s">
        <v>404</v>
      </c>
      <c r="C331" t="s">
        <v>594</v>
      </c>
      <c r="D331">
        <v>703546596</v>
      </c>
      <c r="E331" t="s">
        <v>18</v>
      </c>
      <c r="F331" s="1">
        <v>45694</v>
      </c>
      <c r="G331" t="s">
        <v>451</v>
      </c>
      <c r="H331" s="2">
        <v>1004.87</v>
      </c>
      <c r="I331" t="s">
        <v>25</v>
      </c>
      <c r="J331" t="s">
        <v>11</v>
      </c>
      <c r="K331" t="s">
        <v>12</v>
      </c>
    </row>
    <row r="332" spans="1:11" x14ac:dyDescent="0.25">
      <c r="A332" t="s">
        <v>943</v>
      </c>
      <c r="B332" t="s">
        <v>251</v>
      </c>
      <c r="C332" t="s">
        <v>944</v>
      </c>
      <c r="D332">
        <v>740348016</v>
      </c>
      <c r="E332" t="s">
        <v>9</v>
      </c>
      <c r="F332" s="1">
        <v>45424</v>
      </c>
      <c r="G332" t="s">
        <v>19</v>
      </c>
      <c r="H332" s="2">
        <v>52.67</v>
      </c>
      <c r="I332" t="s">
        <v>25</v>
      </c>
      <c r="J332" t="s">
        <v>33</v>
      </c>
      <c r="K332" t="s">
        <v>16</v>
      </c>
    </row>
    <row r="333" spans="1:11" x14ac:dyDescent="0.25">
      <c r="A333" t="s">
        <v>945</v>
      </c>
      <c r="B333" t="s">
        <v>345</v>
      </c>
      <c r="C333" t="s">
        <v>946</v>
      </c>
      <c r="D333">
        <v>746027757</v>
      </c>
      <c r="E333" t="s">
        <v>18</v>
      </c>
      <c r="F333" s="1">
        <v>45697</v>
      </c>
      <c r="G333" t="s">
        <v>460</v>
      </c>
      <c r="H333" s="2">
        <v>687.68</v>
      </c>
      <c r="I333" t="s">
        <v>444</v>
      </c>
      <c r="J333" t="s">
        <v>11</v>
      </c>
      <c r="K333" t="s">
        <v>16</v>
      </c>
    </row>
    <row r="334" spans="1:11" x14ac:dyDescent="0.25">
      <c r="A334" t="s">
        <v>947</v>
      </c>
      <c r="B334" t="s">
        <v>144</v>
      </c>
      <c r="C334" t="s">
        <v>948</v>
      </c>
      <c r="D334">
        <v>933910652</v>
      </c>
      <c r="E334" t="s">
        <v>18</v>
      </c>
      <c r="F334" s="1">
        <v>45902</v>
      </c>
      <c r="G334" t="s">
        <v>440</v>
      </c>
      <c r="H334" s="2">
        <v>1299.6199999999999</v>
      </c>
      <c r="I334" t="s">
        <v>25</v>
      </c>
      <c r="J334" t="s">
        <v>33</v>
      </c>
      <c r="K334" t="s">
        <v>16</v>
      </c>
    </row>
    <row r="335" spans="1:11" x14ac:dyDescent="0.25">
      <c r="A335" t="s">
        <v>778</v>
      </c>
      <c r="B335" t="s">
        <v>162</v>
      </c>
      <c r="C335" t="s">
        <v>779</v>
      </c>
      <c r="D335">
        <v>859523189</v>
      </c>
      <c r="E335" t="s">
        <v>9</v>
      </c>
      <c r="F335" s="1">
        <v>45732</v>
      </c>
      <c r="G335" t="s">
        <v>19</v>
      </c>
      <c r="H335" s="2">
        <v>596.73</v>
      </c>
      <c r="I335" t="s">
        <v>25</v>
      </c>
      <c r="J335" t="s">
        <v>22</v>
      </c>
      <c r="K335" t="s">
        <v>16</v>
      </c>
    </row>
    <row r="336" spans="1:11" x14ac:dyDescent="0.25">
      <c r="A336" t="s">
        <v>949</v>
      </c>
      <c r="B336" t="s">
        <v>182</v>
      </c>
      <c r="C336" t="s">
        <v>950</v>
      </c>
      <c r="D336">
        <v>741931466</v>
      </c>
      <c r="E336" t="s">
        <v>18</v>
      </c>
      <c r="F336" s="1">
        <v>45812</v>
      </c>
      <c r="G336" t="s">
        <v>440</v>
      </c>
      <c r="H336" s="2">
        <v>412.26</v>
      </c>
      <c r="I336" t="s">
        <v>25</v>
      </c>
      <c r="J336" t="s">
        <v>33</v>
      </c>
      <c r="K336" t="s">
        <v>16</v>
      </c>
    </row>
    <row r="337" spans="1:11" x14ac:dyDescent="0.25">
      <c r="A337" t="s">
        <v>860</v>
      </c>
      <c r="B337" t="s">
        <v>282</v>
      </c>
      <c r="C337" t="s">
        <v>861</v>
      </c>
      <c r="D337">
        <v>720839974</v>
      </c>
      <c r="E337" t="s">
        <v>9</v>
      </c>
      <c r="F337" s="1">
        <v>45703</v>
      </c>
      <c r="G337" t="s">
        <v>29</v>
      </c>
      <c r="H337" s="2">
        <v>1486.1</v>
      </c>
      <c r="I337" t="s">
        <v>25</v>
      </c>
      <c r="J337" t="s">
        <v>11</v>
      </c>
      <c r="K337" t="s">
        <v>12</v>
      </c>
    </row>
    <row r="338" spans="1:11" x14ac:dyDescent="0.25">
      <c r="A338" t="s">
        <v>951</v>
      </c>
      <c r="B338" t="s">
        <v>366</v>
      </c>
      <c r="C338" t="s">
        <v>952</v>
      </c>
      <c r="D338">
        <v>721073574</v>
      </c>
      <c r="E338" t="s">
        <v>18</v>
      </c>
      <c r="F338" s="1">
        <v>45782</v>
      </c>
      <c r="G338" t="s">
        <v>475</v>
      </c>
      <c r="H338" s="2">
        <v>682.05</v>
      </c>
      <c r="I338" t="s">
        <v>507</v>
      </c>
      <c r="J338" t="s">
        <v>11</v>
      </c>
      <c r="K338" t="s">
        <v>12</v>
      </c>
    </row>
    <row r="339" spans="1:11" x14ac:dyDescent="0.25">
      <c r="A339" t="s">
        <v>953</v>
      </c>
      <c r="B339" t="s">
        <v>954</v>
      </c>
      <c r="C339" t="s">
        <v>955</v>
      </c>
      <c r="D339">
        <v>745024306</v>
      </c>
      <c r="E339" t="s">
        <v>9</v>
      </c>
      <c r="F339" s="1">
        <v>45668</v>
      </c>
      <c r="G339" t="s">
        <v>29</v>
      </c>
      <c r="H339" s="2">
        <v>1351.56</v>
      </c>
      <c r="I339" t="s">
        <v>444</v>
      </c>
      <c r="J339" t="s">
        <v>33</v>
      </c>
      <c r="K339" t="s">
        <v>12</v>
      </c>
    </row>
    <row r="340" spans="1:11" x14ac:dyDescent="0.25">
      <c r="A340" t="s">
        <v>733</v>
      </c>
      <c r="B340" t="s">
        <v>228</v>
      </c>
      <c r="C340" t="s">
        <v>734</v>
      </c>
      <c r="D340">
        <v>702416899</v>
      </c>
      <c r="E340" t="s">
        <v>18</v>
      </c>
      <c r="F340" s="1">
        <v>45384</v>
      </c>
      <c r="G340" t="s">
        <v>415</v>
      </c>
      <c r="H340" s="2">
        <v>1311.77</v>
      </c>
      <c r="I340" t="s">
        <v>25</v>
      </c>
      <c r="J340" t="s">
        <v>26</v>
      </c>
      <c r="K340" t="s">
        <v>16</v>
      </c>
    </row>
    <row r="341" spans="1:11" x14ac:dyDescent="0.25">
      <c r="A341" t="s">
        <v>956</v>
      </c>
      <c r="B341" t="s">
        <v>91</v>
      </c>
      <c r="C341" t="s">
        <v>957</v>
      </c>
      <c r="D341">
        <v>974517676</v>
      </c>
      <c r="E341" t="s">
        <v>9</v>
      </c>
      <c r="F341" s="1">
        <v>45777</v>
      </c>
      <c r="G341" t="s">
        <v>475</v>
      </c>
      <c r="H341" s="2">
        <v>398.95</v>
      </c>
      <c r="I341" t="s">
        <v>25</v>
      </c>
      <c r="J341" t="s">
        <v>22</v>
      </c>
      <c r="K341" t="s">
        <v>12</v>
      </c>
    </row>
    <row r="342" spans="1:11" x14ac:dyDescent="0.25">
      <c r="A342" t="s">
        <v>958</v>
      </c>
      <c r="B342" t="s">
        <v>61</v>
      </c>
      <c r="C342" t="s">
        <v>959</v>
      </c>
      <c r="D342">
        <v>725944347</v>
      </c>
      <c r="E342" t="s">
        <v>18</v>
      </c>
      <c r="F342" s="1">
        <v>45773</v>
      </c>
      <c r="G342" t="s">
        <v>423</v>
      </c>
      <c r="H342" s="2">
        <v>1547.46</v>
      </c>
      <c r="I342" t="s">
        <v>25</v>
      </c>
      <c r="J342" t="s">
        <v>33</v>
      </c>
      <c r="K342" t="s">
        <v>16</v>
      </c>
    </row>
    <row r="343" spans="1:11" x14ac:dyDescent="0.25">
      <c r="A343" t="s">
        <v>960</v>
      </c>
      <c r="B343" t="s">
        <v>266</v>
      </c>
      <c r="C343" t="s">
        <v>961</v>
      </c>
      <c r="D343">
        <v>854810022</v>
      </c>
      <c r="E343" t="s">
        <v>18</v>
      </c>
      <c r="F343" s="1">
        <v>45824</v>
      </c>
      <c r="G343" t="s">
        <v>460</v>
      </c>
      <c r="H343" s="2">
        <v>1499.28</v>
      </c>
      <c r="I343" t="s">
        <v>25</v>
      </c>
      <c r="J343" t="s">
        <v>26</v>
      </c>
      <c r="K343" t="s">
        <v>16</v>
      </c>
    </row>
    <row r="344" spans="1:11" x14ac:dyDescent="0.25">
      <c r="A344" t="s">
        <v>932</v>
      </c>
      <c r="B344" t="s">
        <v>180</v>
      </c>
      <c r="C344" t="s">
        <v>933</v>
      </c>
      <c r="D344">
        <v>714298563</v>
      </c>
      <c r="E344" t="s">
        <v>9</v>
      </c>
      <c r="F344" s="1">
        <v>45730</v>
      </c>
      <c r="G344" t="s">
        <v>506</v>
      </c>
      <c r="H344" s="2">
        <v>793.49</v>
      </c>
      <c r="I344" t="s">
        <v>444</v>
      </c>
      <c r="J344" t="s">
        <v>33</v>
      </c>
      <c r="K344" t="s">
        <v>12</v>
      </c>
    </row>
    <row r="345" spans="1:11" x14ac:dyDescent="0.25">
      <c r="A345" t="s">
        <v>432</v>
      </c>
      <c r="B345" t="s">
        <v>254</v>
      </c>
      <c r="C345" t="s">
        <v>433</v>
      </c>
      <c r="D345">
        <v>735998025</v>
      </c>
      <c r="E345" t="s">
        <v>9</v>
      </c>
      <c r="F345" s="1">
        <v>45530</v>
      </c>
      <c r="G345" t="s">
        <v>10</v>
      </c>
      <c r="H345" s="2">
        <v>568.97</v>
      </c>
      <c r="I345" t="s">
        <v>25</v>
      </c>
      <c r="J345" t="s">
        <v>22</v>
      </c>
      <c r="K345" t="s">
        <v>16</v>
      </c>
    </row>
    <row r="346" spans="1:11" x14ac:dyDescent="0.25">
      <c r="A346" t="s">
        <v>891</v>
      </c>
      <c r="B346" t="s">
        <v>892</v>
      </c>
      <c r="C346" t="s">
        <v>893</v>
      </c>
      <c r="D346">
        <v>644562274</v>
      </c>
      <c r="E346" t="s">
        <v>9</v>
      </c>
      <c r="F346" s="1">
        <v>45225</v>
      </c>
      <c r="G346" t="s">
        <v>415</v>
      </c>
      <c r="H346" s="2">
        <v>959.06</v>
      </c>
      <c r="I346" t="s">
        <v>25</v>
      </c>
      <c r="J346" t="s">
        <v>33</v>
      </c>
      <c r="K346" t="s">
        <v>16</v>
      </c>
    </row>
    <row r="347" spans="1:11" x14ac:dyDescent="0.25">
      <c r="A347" t="s">
        <v>560</v>
      </c>
      <c r="B347" t="s">
        <v>71</v>
      </c>
      <c r="C347" t="s">
        <v>561</v>
      </c>
      <c r="D347">
        <v>747410141</v>
      </c>
      <c r="E347" t="s">
        <v>9</v>
      </c>
      <c r="F347" s="1">
        <v>45673</v>
      </c>
      <c r="G347" t="s">
        <v>418</v>
      </c>
      <c r="H347" s="2">
        <v>1739.19</v>
      </c>
      <c r="I347" t="s">
        <v>25</v>
      </c>
      <c r="J347" t="s">
        <v>22</v>
      </c>
      <c r="K347" t="s">
        <v>16</v>
      </c>
    </row>
    <row r="348" spans="1:11" x14ac:dyDescent="0.25">
      <c r="A348" t="s">
        <v>962</v>
      </c>
      <c r="B348" t="s">
        <v>330</v>
      </c>
      <c r="C348" t="s">
        <v>963</v>
      </c>
      <c r="D348">
        <v>706401025</v>
      </c>
      <c r="E348" t="s">
        <v>9</v>
      </c>
      <c r="F348" s="1">
        <v>45328</v>
      </c>
      <c r="G348" t="s">
        <v>423</v>
      </c>
      <c r="H348" s="2">
        <v>835.84</v>
      </c>
      <c r="I348" t="s">
        <v>507</v>
      </c>
      <c r="J348" t="s">
        <v>22</v>
      </c>
      <c r="K348" t="s">
        <v>12</v>
      </c>
    </row>
    <row r="349" spans="1:11" x14ac:dyDescent="0.25">
      <c r="A349" t="s">
        <v>872</v>
      </c>
      <c r="B349" t="s">
        <v>873</v>
      </c>
      <c r="C349" t="s">
        <v>874</v>
      </c>
      <c r="D349">
        <v>733766125</v>
      </c>
      <c r="E349" t="s">
        <v>9</v>
      </c>
      <c r="F349" s="1">
        <v>45518</v>
      </c>
      <c r="G349" t="s">
        <v>415</v>
      </c>
      <c r="H349" s="2">
        <v>1813.16</v>
      </c>
      <c r="I349" t="s">
        <v>25</v>
      </c>
      <c r="J349" t="s">
        <v>36</v>
      </c>
      <c r="K349" t="s">
        <v>16</v>
      </c>
    </row>
    <row r="350" spans="1:11" x14ac:dyDescent="0.25">
      <c r="A350" t="s">
        <v>964</v>
      </c>
      <c r="B350" t="s">
        <v>265</v>
      </c>
      <c r="C350" t="s">
        <v>965</v>
      </c>
      <c r="D350">
        <v>733394756</v>
      </c>
      <c r="E350" t="s">
        <v>18</v>
      </c>
      <c r="F350" s="1">
        <v>45761</v>
      </c>
      <c r="G350" t="s">
        <v>24</v>
      </c>
      <c r="H350" s="2">
        <v>902.67</v>
      </c>
      <c r="I350" t="s">
        <v>25</v>
      </c>
      <c r="J350" t="s">
        <v>26</v>
      </c>
      <c r="K350" t="s">
        <v>12</v>
      </c>
    </row>
    <row r="351" spans="1:11" x14ac:dyDescent="0.25">
      <c r="A351" t="s">
        <v>966</v>
      </c>
      <c r="B351" t="s">
        <v>129</v>
      </c>
      <c r="C351" t="s">
        <v>967</v>
      </c>
      <c r="D351">
        <v>738722817</v>
      </c>
      <c r="E351" t="s">
        <v>9</v>
      </c>
      <c r="F351" s="1">
        <v>45494</v>
      </c>
      <c r="G351" t="s">
        <v>624</v>
      </c>
      <c r="H351" s="2">
        <v>1106.57</v>
      </c>
      <c r="I351" t="s">
        <v>25</v>
      </c>
      <c r="J351" t="s">
        <v>22</v>
      </c>
      <c r="K351" t="s">
        <v>12</v>
      </c>
    </row>
    <row r="352" spans="1:11" x14ac:dyDescent="0.25">
      <c r="A352" t="s">
        <v>968</v>
      </c>
      <c r="B352" t="s">
        <v>148</v>
      </c>
      <c r="C352" t="s">
        <v>969</v>
      </c>
      <c r="D352">
        <v>678540300</v>
      </c>
      <c r="E352" t="s">
        <v>9</v>
      </c>
      <c r="F352" s="1">
        <v>45373</v>
      </c>
      <c r="G352" t="s">
        <v>10</v>
      </c>
      <c r="H352" s="2">
        <v>1287.58</v>
      </c>
      <c r="I352" t="s">
        <v>25</v>
      </c>
      <c r="J352" t="s">
        <v>33</v>
      </c>
      <c r="K352" t="s">
        <v>12</v>
      </c>
    </row>
    <row r="353" spans="1:11" x14ac:dyDescent="0.25">
      <c r="A353" t="s">
        <v>905</v>
      </c>
      <c r="B353" t="s">
        <v>275</v>
      </c>
      <c r="C353" t="s">
        <v>906</v>
      </c>
      <c r="D353">
        <v>907022641</v>
      </c>
      <c r="E353" t="s">
        <v>9</v>
      </c>
      <c r="F353" s="1">
        <v>45490</v>
      </c>
      <c r="G353" t="s">
        <v>21</v>
      </c>
      <c r="H353" s="2">
        <v>518.92999999999995</v>
      </c>
      <c r="I353" t="s">
        <v>25</v>
      </c>
      <c r="J353" t="s">
        <v>22</v>
      </c>
      <c r="K353" t="s">
        <v>16</v>
      </c>
    </row>
    <row r="354" spans="1:11" x14ac:dyDescent="0.25">
      <c r="A354" t="s">
        <v>856</v>
      </c>
      <c r="B354" t="s">
        <v>97</v>
      </c>
      <c r="C354" t="s">
        <v>857</v>
      </c>
      <c r="D354">
        <v>748297259</v>
      </c>
      <c r="E354" t="s">
        <v>9</v>
      </c>
      <c r="F354" s="1">
        <v>45247</v>
      </c>
      <c r="G354" t="s">
        <v>35</v>
      </c>
      <c r="H354" s="2">
        <v>828.11</v>
      </c>
      <c r="I354" t="s">
        <v>25</v>
      </c>
      <c r="J354" t="s">
        <v>22</v>
      </c>
      <c r="K354" t="s">
        <v>16</v>
      </c>
    </row>
    <row r="355" spans="1:11" x14ac:dyDescent="0.25">
      <c r="A355" t="s">
        <v>970</v>
      </c>
      <c r="B355" t="s">
        <v>289</v>
      </c>
      <c r="C355" t="s">
        <v>971</v>
      </c>
      <c r="D355">
        <v>804914249</v>
      </c>
      <c r="E355" t="s">
        <v>9</v>
      </c>
      <c r="F355" s="1">
        <v>45296</v>
      </c>
      <c r="G355" t="s">
        <v>418</v>
      </c>
      <c r="H355" s="2">
        <v>415.7</v>
      </c>
      <c r="I355" t="s">
        <v>25</v>
      </c>
      <c r="J355" t="s">
        <v>36</v>
      </c>
      <c r="K355" t="s">
        <v>16</v>
      </c>
    </row>
    <row r="356" spans="1:11" x14ac:dyDescent="0.25">
      <c r="A356" t="s">
        <v>972</v>
      </c>
      <c r="B356" t="s">
        <v>391</v>
      </c>
      <c r="C356" t="s">
        <v>973</v>
      </c>
      <c r="D356">
        <v>689640017</v>
      </c>
      <c r="E356" t="s">
        <v>9</v>
      </c>
      <c r="F356" s="1">
        <v>45384</v>
      </c>
      <c r="G356" t="s">
        <v>478</v>
      </c>
      <c r="H356" s="2">
        <v>368.81</v>
      </c>
      <c r="I356" t="s">
        <v>444</v>
      </c>
      <c r="J356" t="s">
        <v>11</v>
      </c>
      <c r="K356" t="s">
        <v>12</v>
      </c>
    </row>
    <row r="357" spans="1:11" x14ac:dyDescent="0.25">
      <c r="A357" t="s">
        <v>568</v>
      </c>
      <c r="B357" t="s">
        <v>188</v>
      </c>
      <c r="C357" t="s">
        <v>569</v>
      </c>
      <c r="D357">
        <v>841231253</v>
      </c>
      <c r="E357" t="s">
        <v>9</v>
      </c>
      <c r="F357" s="1">
        <v>45842</v>
      </c>
      <c r="G357" t="s">
        <v>47</v>
      </c>
      <c r="H357" s="2">
        <v>745.34</v>
      </c>
      <c r="I357" t="s">
        <v>25</v>
      </c>
      <c r="J357" t="s">
        <v>11</v>
      </c>
      <c r="K357" t="s">
        <v>16</v>
      </c>
    </row>
    <row r="358" spans="1:11" x14ac:dyDescent="0.25">
      <c r="A358" t="s">
        <v>974</v>
      </c>
      <c r="B358" t="s">
        <v>199</v>
      </c>
      <c r="C358" t="s">
        <v>975</v>
      </c>
      <c r="D358">
        <v>731372618</v>
      </c>
      <c r="E358" t="s">
        <v>9</v>
      </c>
      <c r="F358" s="1">
        <v>45332</v>
      </c>
      <c r="G358" t="s">
        <v>418</v>
      </c>
      <c r="H358" s="2">
        <v>1967.33</v>
      </c>
      <c r="I358" t="s">
        <v>25</v>
      </c>
      <c r="J358" t="s">
        <v>22</v>
      </c>
      <c r="K358" t="s">
        <v>12</v>
      </c>
    </row>
    <row r="359" spans="1:11" x14ac:dyDescent="0.25">
      <c r="A359" t="s">
        <v>976</v>
      </c>
      <c r="B359" t="s">
        <v>245</v>
      </c>
      <c r="C359" t="s">
        <v>977</v>
      </c>
      <c r="D359">
        <v>721566153</v>
      </c>
      <c r="E359" t="s">
        <v>9</v>
      </c>
      <c r="F359" s="1">
        <v>45515</v>
      </c>
      <c r="G359" t="s">
        <v>35</v>
      </c>
      <c r="H359" s="2">
        <v>632.29</v>
      </c>
      <c r="I359" t="s">
        <v>25</v>
      </c>
      <c r="J359" t="s">
        <v>22</v>
      </c>
      <c r="K359" t="s">
        <v>16</v>
      </c>
    </row>
    <row r="360" spans="1:11" x14ac:dyDescent="0.25">
      <c r="A360" t="s">
        <v>525</v>
      </c>
      <c r="B360" t="s">
        <v>202</v>
      </c>
      <c r="C360" t="s">
        <v>526</v>
      </c>
      <c r="D360">
        <v>715742102</v>
      </c>
      <c r="E360" t="s">
        <v>9</v>
      </c>
      <c r="F360" s="1">
        <v>45364</v>
      </c>
      <c r="G360" t="s">
        <v>10</v>
      </c>
      <c r="H360" s="2">
        <v>25.76</v>
      </c>
      <c r="I360" t="s">
        <v>25</v>
      </c>
      <c r="J360" t="s">
        <v>22</v>
      </c>
      <c r="K360" t="s">
        <v>16</v>
      </c>
    </row>
    <row r="361" spans="1:11" x14ac:dyDescent="0.25">
      <c r="A361" t="s">
        <v>978</v>
      </c>
      <c r="B361" t="s">
        <v>355</v>
      </c>
      <c r="C361" t="s">
        <v>979</v>
      </c>
      <c r="D361">
        <v>721979865</v>
      </c>
      <c r="E361" t="s">
        <v>9</v>
      </c>
      <c r="F361" s="1">
        <v>45418</v>
      </c>
      <c r="G361" t="s">
        <v>518</v>
      </c>
      <c r="H361" s="2">
        <v>1279.9100000000001</v>
      </c>
      <c r="I361" t="s">
        <v>25</v>
      </c>
      <c r="J361" t="s">
        <v>11</v>
      </c>
      <c r="K361" t="s">
        <v>16</v>
      </c>
    </row>
    <row r="362" spans="1:11" x14ac:dyDescent="0.25">
      <c r="A362" t="s">
        <v>699</v>
      </c>
      <c r="B362" t="s">
        <v>167</v>
      </c>
      <c r="C362" t="s">
        <v>700</v>
      </c>
      <c r="D362">
        <v>734216317</v>
      </c>
      <c r="E362" t="s">
        <v>9</v>
      </c>
      <c r="F362" s="1">
        <v>45653</v>
      </c>
      <c r="G362" t="s">
        <v>475</v>
      </c>
      <c r="H362" s="2">
        <v>400.27</v>
      </c>
      <c r="I362" t="s">
        <v>25</v>
      </c>
      <c r="J362" t="s">
        <v>36</v>
      </c>
      <c r="K362" t="s">
        <v>12</v>
      </c>
    </row>
    <row r="363" spans="1:11" x14ac:dyDescent="0.25">
      <c r="A363" t="s">
        <v>669</v>
      </c>
      <c r="B363" t="s">
        <v>95</v>
      </c>
      <c r="C363" t="s">
        <v>670</v>
      </c>
      <c r="D363">
        <v>749984420</v>
      </c>
      <c r="E363" t="s">
        <v>9</v>
      </c>
      <c r="F363" s="1">
        <v>45336</v>
      </c>
      <c r="G363" t="s">
        <v>518</v>
      </c>
      <c r="H363" s="2">
        <v>1611</v>
      </c>
      <c r="I363" t="s">
        <v>25</v>
      </c>
      <c r="J363" t="s">
        <v>33</v>
      </c>
      <c r="K363" t="s">
        <v>16</v>
      </c>
    </row>
    <row r="364" spans="1:11" x14ac:dyDescent="0.25">
      <c r="A364" t="s">
        <v>719</v>
      </c>
      <c r="B364" t="s">
        <v>190</v>
      </c>
      <c r="C364" t="s">
        <v>720</v>
      </c>
      <c r="D364">
        <v>742193948</v>
      </c>
      <c r="E364" t="s">
        <v>9</v>
      </c>
      <c r="F364" s="1">
        <v>45221</v>
      </c>
      <c r="G364" t="s">
        <v>24</v>
      </c>
      <c r="H364" s="2">
        <v>359.45</v>
      </c>
      <c r="I364" t="s">
        <v>444</v>
      </c>
      <c r="J364" t="s">
        <v>22</v>
      </c>
      <c r="K364" t="s">
        <v>12</v>
      </c>
    </row>
    <row r="365" spans="1:11" x14ac:dyDescent="0.25">
      <c r="A365" t="s">
        <v>980</v>
      </c>
      <c r="B365" t="s">
        <v>101</v>
      </c>
      <c r="C365" t="s">
        <v>981</v>
      </c>
      <c r="D365">
        <v>724525701</v>
      </c>
      <c r="E365" t="s">
        <v>9</v>
      </c>
      <c r="F365" s="1">
        <v>45732</v>
      </c>
      <c r="G365" t="s">
        <v>39</v>
      </c>
      <c r="H365" s="2">
        <v>652.32000000000005</v>
      </c>
      <c r="I365" t="s">
        <v>25</v>
      </c>
      <c r="J365" t="s">
        <v>11</v>
      </c>
      <c r="K365" t="s">
        <v>16</v>
      </c>
    </row>
    <row r="366" spans="1:11" x14ac:dyDescent="0.25">
      <c r="A366" t="s">
        <v>982</v>
      </c>
      <c r="B366" t="s">
        <v>232</v>
      </c>
      <c r="C366" t="s">
        <v>983</v>
      </c>
      <c r="D366">
        <v>703991673</v>
      </c>
      <c r="E366" t="s">
        <v>18</v>
      </c>
      <c r="F366" s="1">
        <v>45481</v>
      </c>
      <c r="G366" t="s">
        <v>506</v>
      </c>
      <c r="H366" s="2">
        <v>394.06</v>
      </c>
      <c r="I366" t="s">
        <v>25</v>
      </c>
      <c r="J366" t="s">
        <v>33</v>
      </c>
      <c r="K366" t="s">
        <v>16</v>
      </c>
    </row>
    <row r="367" spans="1:11" x14ac:dyDescent="0.25">
      <c r="A367" t="s">
        <v>984</v>
      </c>
      <c r="B367" t="s">
        <v>132</v>
      </c>
      <c r="C367" t="s">
        <v>985</v>
      </c>
      <c r="D367">
        <v>738803125</v>
      </c>
      <c r="E367" t="s">
        <v>9</v>
      </c>
      <c r="F367" s="1">
        <v>45502</v>
      </c>
      <c r="G367" t="s">
        <v>415</v>
      </c>
      <c r="H367" s="2">
        <v>1367.67</v>
      </c>
      <c r="I367" t="s">
        <v>444</v>
      </c>
      <c r="J367" t="s">
        <v>36</v>
      </c>
      <c r="K367" t="s">
        <v>12</v>
      </c>
    </row>
    <row r="368" spans="1:11" x14ac:dyDescent="0.25">
      <c r="A368" t="s">
        <v>986</v>
      </c>
      <c r="B368" t="s">
        <v>302</v>
      </c>
      <c r="C368" t="s">
        <v>987</v>
      </c>
      <c r="D368">
        <v>961014302</v>
      </c>
      <c r="E368" t="s">
        <v>18</v>
      </c>
      <c r="F368" s="1">
        <v>45446</v>
      </c>
      <c r="G368" t="s">
        <v>624</v>
      </c>
      <c r="H368" s="2">
        <v>283.7</v>
      </c>
      <c r="I368" t="s">
        <v>444</v>
      </c>
      <c r="J368" t="s">
        <v>11</v>
      </c>
      <c r="K368" t="s">
        <v>16</v>
      </c>
    </row>
    <row r="369" spans="1:11" x14ac:dyDescent="0.25">
      <c r="A369" t="s">
        <v>741</v>
      </c>
      <c r="B369" t="s">
        <v>99</v>
      </c>
      <c r="C369" t="s">
        <v>742</v>
      </c>
      <c r="D369">
        <v>958161330</v>
      </c>
      <c r="E369" t="s">
        <v>13</v>
      </c>
      <c r="F369" s="1">
        <v>45787</v>
      </c>
      <c r="G369" t="s">
        <v>35</v>
      </c>
      <c r="H369" s="2">
        <v>1518.6</v>
      </c>
      <c r="I369" t="s">
        <v>25</v>
      </c>
      <c r="J369" t="s">
        <v>36</v>
      </c>
      <c r="K369" t="s">
        <v>16</v>
      </c>
    </row>
    <row r="370" spans="1:11" x14ac:dyDescent="0.25">
      <c r="A370" t="s">
        <v>835</v>
      </c>
      <c r="B370" t="s">
        <v>83</v>
      </c>
      <c r="C370" t="s">
        <v>836</v>
      </c>
      <c r="D370">
        <v>720195198</v>
      </c>
      <c r="E370" t="s">
        <v>18</v>
      </c>
      <c r="F370" s="1">
        <v>45655</v>
      </c>
      <c r="G370" t="s">
        <v>518</v>
      </c>
      <c r="H370" s="2">
        <v>1283.3699999999999</v>
      </c>
      <c r="I370" t="s">
        <v>25</v>
      </c>
      <c r="J370" t="s">
        <v>11</v>
      </c>
      <c r="K370" t="s">
        <v>12</v>
      </c>
    </row>
    <row r="371" spans="1:11" x14ac:dyDescent="0.25">
      <c r="A371" t="s">
        <v>543</v>
      </c>
      <c r="B371" t="s">
        <v>276</v>
      </c>
      <c r="C371" t="s">
        <v>544</v>
      </c>
      <c r="D371">
        <v>744517295</v>
      </c>
      <c r="E371" t="s">
        <v>18</v>
      </c>
      <c r="F371" s="1">
        <v>45241</v>
      </c>
      <c r="G371" t="s">
        <v>440</v>
      </c>
      <c r="H371" s="2">
        <v>1224.5</v>
      </c>
      <c r="I371" t="s">
        <v>444</v>
      </c>
      <c r="J371" t="s">
        <v>22</v>
      </c>
      <c r="K371" t="s">
        <v>16</v>
      </c>
    </row>
    <row r="372" spans="1:11" x14ac:dyDescent="0.25">
      <c r="A372" t="s">
        <v>988</v>
      </c>
      <c r="B372" t="s">
        <v>131</v>
      </c>
      <c r="C372" t="s">
        <v>989</v>
      </c>
      <c r="D372">
        <v>975321341</v>
      </c>
      <c r="E372" t="s">
        <v>9</v>
      </c>
      <c r="F372" s="1">
        <v>45795</v>
      </c>
      <c r="G372" t="s">
        <v>451</v>
      </c>
      <c r="H372" s="2">
        <v>1427.22</v>
      </c>
      <c r="I372" t="s">
        <v>25</v>
      </c>
      <c r="J372" t="s">
        <v>26</v>
      </c>
      <c r="K372" t="s">
        <v>16</v>
      </c>
    </row>
    <row r="373" spans="1:11" x14ac:dyDescent="0.25">
      <c r="A373" t="s">
        <v>479</v>
      </c>
      <c r="B373" t="s">
        <v>480</v>
      </c>
      <c r="C373" t="s">
        <v>481</v>
      </c>
      <c r="D373">
        <v>727899933</v>
      </c>
      <c r="E373" t="s">
        <v>18</v>
      </c>
      <c r="F373" s="1">
        <v>45546</v>
      </c>
      <c r="G373" t="s">
        <v>443</v>
      </c>
      <c r="H373" s="2">
        <v>338.75</v>
      </c>
      <c r="I373" t="s">
        <v>25</v>
      </c>
      <c r="J373" t="s">
        <v>11</v>
      </c>
      <c r="K373" t="s">
        <v>16</v>
      </c>
    </row>
    <row r="374" spans="1:11" x14ac:dyDescent="0.25">
      <c r="A374" t="s">
        <v>990</v>
      </c>
      <c r="B374" t="s">
        <v>212</v>
      </c>
      <c r="C374" t="s">
        <v>991</v>
      </c>
      <c r="D374">
        <v>738604456</v>
      </c>
      <c r="E374" t="s">
        <v>9</v>
      </c>
      <c r="F374" s="1">
        <v>45833</v>
      </c>
      <c r="G374" t="s">
        <v>603</v>
      </c>
      <c r="H374" s="2">
        <v>654.17999999999995</v>
      </c>
      <c r="I374" t="s">
        <v>25</v>
      </c>
      <c r="J374" t="s">
        <v>33</v>
      </c>
      <c r="K374" t="s">
        <v>16</v>
      </c>
    </row>
    <row r="375" spans="1:11" x14ac:dyDescent="0.25">
      <c r="A375" t="s">
        <v>589</v>
      </c>
      <c r="B375" t="s">
        <v>70</v>
      </c>
      <c r="C375" t="s">
        <v>590</v>
      </c>
      <c r="D375">
        <v>816160530</v>
      </c>
      <c r="E375" t="s">
        <v>18</v>
      </c>
      <c r="F375" s="1">
        <v>45377</v>
      </c>
      <c r="G375" t="s">
        <v>24</v>
      </c>
      <c r="H375" s="2">
        <v>1666.24</v>
      </c>
      <c r="I375" t="s">
        <v>25</v>
      </c>
      <c r="J375" t="s">
        <v>33</v>
      </c>
      <c r="K375" t="s">
        <v>16</v>
      </c>
    </row>
    <row r="376" spans="1:11" x14ac:dyDescent="0.25">
      <c r="A376" t="s">
        <v>947</v>
      </c>
      <c r="B376" t="s">
        <v>144</v>
      </c>
      <c r="C376" t="s">
        <v>948</v>
      </c>
      <c r="D376">
        <v>933910652</v>
      </c>
      <c r="E376" t="s">
        <v>18</v>
      </c>
      <c r="F376" s="1">
        <v>45384</v>
      </c>
      <c r="G376" t="s">
        <v>440</v>
      </c>
      <c r="H376" s="2">
        <v>482.09</v>
      </c>
      <c r="I376" t="s">
        <v>444</v>
      </c>
      <c r="J376" t="s">
        <v>11</v>
      </c>
      <c r="K376" t="s">
        <v>16</v>
      </c>
    </row>
    <row r="377" spans="1:11" x14ac:dyDescent="0.25">
      <c r="A377" t="s">
        <v>992</v>
      </c>
      <c r="B377" t="s">
        <v>83</v>
      </c>
      <c r="C377" t="s">
        <v>993</v>
      </c>
      <c r="D377">
        <v>721305080</v>
      </c>
      <c r="E377" t="s">
        <v>13</v>
      </c>
      <c r="F377" s="1">
        <v>45643</v>
      </c>
      <c r="G377" t="s">
        <v>39</v>
      </c>
      <c r="H377" s="2">
        <v>891.55</v>
      </c>
      <c r="I377" t="s">
        <v>25</v>
      </c>
      <c r="J377" t="s">
        <v>11</v>
      </c>
      <c r="K377" t="s">
        <v>12</v>
      </c>
    </row>
    <row r="378" spans="1:11" x14ac:dyDescent="0.25">
      <c r="A378" t="s">
        <v>853</v>
      </c>
      <c r="B378" t="s">
        <v>854</v>
      </c>
      <c r="C378" t="s">
        <v>855</v>
      </c>
      <c r="D378">
        <v>731844990</v>
      </c>
      <c r="E378" t="s">
        <v>18</v>
      </c>
      <c r="F378" s="1">
        <v>45261</v>
      </c>
      <c r="G378" t="s">
        <v>14</v>
      </c>
      <c r="H378" s="2">
        <v>1477.76</v>
      </c>
      <c r="I378" t="s">
        <v>25</v>
      </c>
      <c r="J378" t="s">
        <v>11</v>
      </c>
      <c r="K378" t="s">
        <v>16</v>
      </c>
    </row>
    <row r="379" spans="1:11" x14ac:dyDescent="0.25">
      <c r="A379" t="s">
        <v>804</v>
      </c>
      <c r="B379" t="s">
        <v>45</v>
      </c>
      <c r="C379" t="s">
        <v>805</v>
      </c>
      <c r="D379">
        <v>716908291</v>
      </c>
      <c r="E379" t="s">
        <v>9</v>
      </c>
      <c r="F379" s="1">
        <v>45800</v>
      </c>
      <c r="G379" t="s">
        <v>451</v>
      </c>
      <c r="H379" s="2">
        <v>1276.31</v>
      </c>
      <c r="I379" t="s">
        <v>25</v>
      </c>
      <c r="J379" t="s">
        <v>22</v>
      </c>
      <c r="K379" t="s">
        <v>16</v>
      </c>
    </row>
    <row r="380" spans="1:11" x14ac:dyDescent="0.25">
      <c r="A380" t="s">
        <v>994</v>
      </c>
      <c r="B380" t="s">
        <v>102</v>
      </c>
      <c r="C380" t="s">
        <v>995</v>
      </c>
      <c r="D380">
        <v>716035669</v>
      </c>
      <c r="E380" t="s">
        <v>9</v>
      </c>
      <c r="F380" s="1">
        <v>45445</v>
      </c>
      <c r="G380" t="s">
        <v>21</v>
      </c>
      <c r="H380" s="2">
        <v>307.67</v>
      </c>
      <c r="I380" t="s">
        <v>25</v>
      </c>
      <c r="J380" t="s">
        <v>11</v>
      </c>
      <c r="K380" t="s">
        <v>12</v>
      </c>
    </row>
    <row r="381" spans="1:11" x14ac:dyDescent="0.25">
      <c r="A381" t="s">
        <v>996</v>
      </c>
      <c r="B381" t="s">
        <v>344</v>
      </c>
      <c r="C381" t="s">
        <v>997</v>
      </c>
      <c r="D381">
        <v>919457468</v>
      </c>
      <c r="E381" t="s">
        <v>9</v>
      </c>
      <c r="F381" s="1">
        <v>45727</v>
      </c>
      <c r="G381" t="s">
        <v>47</v>
      </c>
      <c r="H381" s="2">
        <v>1739.77</v>
      </c>
      <c r="I381" t="s">
        <v>25</v>
      </c>
      <c r="J381" t="s">
        <v>36</v>
      </c>
      <c r="K381" t="s">
        <v>16</v>
      </c>
    </row>
    <row r="382" spans="1:11" x14ac:dyDescent="0.25">
      <c r="A382" t="s">
        <v>521</v>
      </c>
      <c r="B382" t="s">
        <v>197</v>
      </c>
      <c r="C382" t="s">
        <v>522</v>
      </c>
      <c r="D382">
        <v>705389520</v>
      </c>
      <c r="E382" t="s">
        <v>13</v>
      </c>
      <c r="F382" s="1">
        <v>45576</v>
      </c>
      <c r="G382" t="s">
        <v>10</v>
      </c>
      <c r="H382" s="2">
        <v>680.47</v>
      </c>
      <c r="I382" t="s">
        <v>25</v>
      </c>
      <c r="J382" t="s">
        <v>36</v>
      </c>
      <c r="K382" t="s">
        <v>12</v>
      </c>
    </row>
    <row r="383" spans="1:11" x14ac:dyDescent="0.25">
      <c r="A383" t="s">
        <v>998</v>
      </c>
      <c r="B383" t="s">
        <v>319</v>
      </c>
      <c r="C383" t="s">
        <v>999</v>
      </c>
      <c r="D383">
        <v>734368160</v>
      </c>
      <c r="E383" t="s">
        <v>9</v>
      </c>
      <c r="F383" s="1">
        <v>45342</v>
      </c>
      <c r="G383" t="s">
        <v>10</v>
      </c>
      <c r="H383" s="2">
        <v>938.65</v>
      </c>
      <c r="I383" t="s">
        <v>25</v>
      </c>
      <c r="J383" t="s">
        <v>11</v>
      </c>
      <c r="K383" t="s">
        <v>12</v>
      </c>
    </row>
    <row r="384" spans="1:11" x14ac:dyDescent="0.25">
      <c r="A384" t="s">
        <v>1000</v>
      </c>
      <c r="B384" t="s">
        <v>240</v>
      </c>
      <c r="C384" t="s">
        <v>1001</v>
      </c>
      <c r="D384">
        <v>905498813</v>
      </c>
      <c r="E384" t="s">
        <v>9</v>
      </c>
      <c r="F384" s="1">
        <v>45590</v>
      </c>
      <c r="G384" t="s">
        <v>29</v>
      </c>
      <c r="H384" s="2">
        <v>1004.52</v>
      </c>
      <c r="I384" t="s">
        <v>25</v>
      </c>
      <c r="J384" t="s">
        <v>22</v>
      </c>
      <c r="K384" t="s">
        <v>12</v>
      </c>
    </row>
    <row r="385" spans="1:11" x14ac:dyDescent="0.25">
      <c r="A385" t="s">
        <v>1002</v>
      </c>
      <c r="B385" t="s">
        <v>587</v>
      </c>
      <c r="C385" t="s">
        <v>1003</v>
      </c>
      <c r="D385">
        <v>707111139</v>
      </c>
      <c r="E385" t="s">
        <v>9</v>
      </c>
      <c r="F385" s="1">
        <v>45550</v>
      </c>
      <c r="G385" t="s">
        <v>475</v>
      </c>
      <c r="H385" s="2">
        <v>1014.61</v>
      </c>
      <c r="I385" t="s">
        <v>25</v>
      </c>
      <c r="J385" t="s">
        <v>26</v>
      </c>
      <c r="K385" t="s">
        <v>16</v>
      </c>
    </row>
    <row r="386" spans="1:11" x14ac:dyDescent="0.25">
      <c r="A386" t="s">
        <v>1004</v>
      </c>
      <c r="B386" t="s">
        <v>348</v>
      </c>
      <c r="C386" t="s">
        <v>1005</v>
      </c>
      <c r="D386">
        <v>745520576</v>
      </c>
      <c r="E386" t="s">
        <v>18</v>
      </c>
      <c r="F386" s="1">
        <v>45697</v>
      </c>
      <c r="G386" t="s">
        <v>415</v>
      </c>
      <c r="H386" s="2">
        <v>465.39</v>
      </c>
      <c r="I386" t="s">
        <v>444</v>
      </c>
      <c r="J386" t="s">
        <v>26</v>
      </c>
      <c r="K386" t="s">
        <v>12</v>
      </c>
    </row>
    <row r="387" spans="1:11" x14ac:dyDescent="0.25">
      <c r="A387" t="s">
        <v>438</v>
      </c>
      <c r="B387" t="s">
        <v>153</v>
      </c>
      <c r="C387" t="s">
        <v>439</v>
      </c>
      <c r="D387">
        <v>734311637</v>
      </c>
      <c r="E387" t="s">
        <v>9</v>
      </c>
      <c r="F387" s="1">
        <v>45775</v>
      </c>
      <c r="G387" t="s">
        <v>440</v>
      </c>
      <c r="H387" s="2">
        <v>1093.01</v>
      </c>
      <c r="I387" t="s">
        <v>25</v>
      </c>
      <c r="J387" t="s">
        <v>36</v>
      </c>
      <c r="K387" t="s">
        <v>16</v>
      </c>
    </row>
    <row r="388" spans="1:11" x14ac:dyDescent="0.25">
      <c r="A388" t="s">
        <v>1006</v>
      </c>
      <c r="B388" t="s">
        <v>143</v>
      </c>
      <c r="C388" t="s">
        <v>1007</v>
      </c>
      <c r="D388">
        <v>892885525</v>
      </c>
      <c r="E388" t="s">
        <v>18</v>
      </c>
      <c r="F388" s="1">
        <v>45733</v>
      </c>
      <c r="G388" t="s">
        <v>47</v>
      </c>
      <c r="H388" s="2">
        <v>1912.75</v>
      </c>
      <c r="I388" t="s">
        <v>507</v>
      </c>
      <c r="J388" t="s">
        <v>11</v>
      </c>
      <c r="K388" t="s">
        <v>16</v>
      </c>
    </row>
    <row r="389" spans="1:11" x14ac:dyDescent="0.25">
      <c r="A389" t="s">
        <v>960</v>
      </c>
      <c r="B389" t="s">
        <v>266</v>
      </c>
      <c r="C389" t="s">
        <v>961</v>
      </c>
      <c r="D389">
        <v>854810022</v>
      </c>
      <c r="E389" t="s">
        <v>18</v>
      </c>
      <c r="F389" s="1">
        <v>45355</v>
      </c>
      <c r="G389" t="s">
        <v>460</v>
      </c>
      <c r="H389" s="2">
        <v>1754.1</v>
      </c>
      <c r="I389" t="s">
        <v>25</v>
      </c>
      <c r="J389" t="s">
        <v>11</v>
      </c>
      <c r="K389" t="s">
        <v>12</v>
      </c>
    </row>
    <row r="390" spans="1:11" x14ac:dyDescent="0.25">
      <c r="A390" t="s">
        <v>830</v>
      </c>
      <c r="B390" t="s">
        <v>831</v>
      </c>
      <c r="C390" t="s">
        <v>832</v>
      </c>
      <c r="D390">
        <v>731359620</v>
      </c>
      <c r="E390" t="s">
        <v>18</v>
      </c>
      <c r="F390" s="1">
        <v>45189</v>
      </c>
      <c r="G390" t="s">
        <v>443</v>
      </c>
      <c r="H390" s="2">
        <v>1069.5</v>
      </c>
      <c r="I390" t="s">
        <v>507</v>
      </c>
      <c r="J390" t="s">
        <v>33</v>
      </c>
      <c r="K390" t="s">
        <v>12</v>
      </c>
    </row>
    <row r="391" spans="1:11" x14ac:dyDescent="0.25">
      <c r="A391" t="s">
        <v>582</v>
      </c>
      <c r="B391" t="s">
        <v>347</v>
      </c>
      <c r="C391" t="s">
        <v>583</v>
      </c>
      <c r="D391">
        <v>937606933</v>
      </c>
      <c r="E391" t="s">
        <v>9</v>
      </c>
      <c r="F391" s="1">
        <v>45386</v>
      </c>
      <c r="G391" t="s">
        <v>443</v>
      </c>
      <c r="H391" s="2">
        <v>1330.14</v>
      </c>
      <c r="I391" t="s">
        <v>25</v>
      </c>
      <c r="J391" t="s">
        <v>26</v>
      </c>
      <c r="K391" t="s">
        <v>16</v>
      </c>
    </row>
    <row r="392" spans="1:11" x14ac:dyDescent="0.25">
      <c r="A392" t="s">
        <v>500</v>
      </c>
      <c r="B392" t="s">
        <v>158</v>
      </c>
      <c r="C392" t="s">
        <v>501</v>
      </c>
      <c r="D392">
        <v>700258650</v>
      </c>
      <c r="E392" t="s">
        <v>9</v>
      </c>
      <c r="F392" s="1">
        <v>45452</v>
      </c>
      <c r="G392" t="s">
        <v>412</v>
      </c>
      <c r="H392" s="2">
        <v>428.11</v>
      </c>
      <c r="I392" t="s">
        <v>25</v>
      </c>
      <c r="J392" t="s">
        <v>11</v>
      </c>
      <c r="K392" t="s">
        <v>16</v>
      </c>
    </row>
    <row r="393" spans="1:11" x14ac:dyDescent="0.25">
      <c r="A393" t="s">
        <v>1008</v>
      </c>
      <c r="B393" t="s">
        <v>349</v>
      </c>
      <c r="C393" t="s">
        <v>1009</v>
      </c>
      <c r="D393">
        <v>888622735</v>
      </c>
      <c r="E393" t="s">
        <v>18</v>
      </c>
      <c r="F393" s="1">
        <v>45318</v>
      </c>
      <c r="G393" t="s">
        <v>506</v>
      </c>
      <c r="H393" s="2">
        <v>1945.18</v>
      </c>
      <c r="I393" t="s">
        <v>25</v>
      </c>
      <c r="J393" t="s">
        <v>22</v>
      </c>
      <c r="K393" t="s">
        <v>16</v>
      </c>
    </row>
    <row r="394" spans="1:11" x14ac:dyDescent="0.25">
      <c r="A394" t="s">
        <v>575</v>
      </c>
      <c r="B394" t="s">
        <v>284</v>
      </c>
      <c r="C394" t="s">
        <v>576</v>
      </c>
      <c r="D394">
        <v>738534660</v>
      </c>
      <c r="E394" t="s">
        <v>18</v>
      </c>
      <c r="F394" s="1">
        <v>45266</v>
      </c>
      <c r="G394" t="s">
        <v>518</v>
      </c>
      <c r="H394" s="2">
        <v>253.54</v>
      </c>
      <c r="I394" t="s">
        <v>507</v>
      </c>
      <c r="J394" t="s">
        <v>26</v>
      </c>
      <c r="K394" t="s">
        <v>16</v>
      </c>
    </row>
    <row r="395" spans="1:11" x14ac:dyDescent="0.25">
      <c r="A395" t="s">
        <v>1010</v>
      </c>
      <c r="B395" t="s">
        <v>405</v>
      </c>
      <c r="C395" t="s">
        <v>1011</v>
      </c>
      <c r="D395">
        <v>988674084</v>
      </c>
      <c r="E395" t="s">
        <v>9</v>
      </c>
      <c r="F395" s="1">
        <v>45899</v>
      </c>
      <c r="G395" t="s">
        <v>14</v>
      </c>
      <c r="H395" s="2">
        <v>1605.37</v>
      </c>
      <c r="I395" t="s">
        <v>25</v>
      </c>
      <c r="J395" t="s">
        <v>22</v>
      </c>
      <c r="K395" t="s">
        <v>16</v>
      </c>
    </row>
    <row r="396" spans="1:11" x14ac:dyDescent="0.25">
      <c r="A396" t="s">
        <v>476</v>
      </c>
      <c r="B396" t="s">
        <v>170</v>
      </c>
      <c r="C396" t="s">
        <v>477</v>
      </c>
      <c r="D396">
        <v>982589898</v>
      </c>
      <c r="E396" t="s">
        <v>18</v>
      </c>
      <c r="F396" s="1">
        <v>45777</v>
      </c>
      <c r="G396" t="s">
        <v>478</v>
      </c>
      <c r="H396" s="2">
        <v>1067.69</v>
      </c>
      <c r="I396" t="s">
        <v>25</v>
      </c>
      <c r="J396" t="s">
        <v>36</v>
      </c>
      <c r="K396" t="s">
        <v>12</v>
      </c>
    </row>
    <row r="397" spans="1:11" x14ac:dyDescent="0.25">
      <c r="A397" t="s">
        <v>568</v>
      </c>
      <c r="B397" t="s">
        <v>188</v>
      </c>
      <c r="C397" t="s">
        <v>569</v>
      </c>
      <c r="D397">
        <v>841231253</v>
      </c>
      <c r="E397" t="s">
        <v>9</v>
      </c>
      <c r="F397" s="1">
        <v>45306</v>
      </c>
      <c r="G397" t="s">
        <v>47</v>
      </c>
      <c r="H397" s="2">
        <v>356.92</v>
      </c>
      <c r="I397" t="s">
        <v>25</v>
      </c>
      <c r="J397" t="s">
        <v>36</v>
      </c>
      <c r="K397" t="s">
        <v>12</v>
      </c>
    </row>
    <row r="398" spans="1:11" x14ac:dyDescent="0.25">
      <c r="A398" t="s">
        <v>1012</v>
      </c>
      <c r="B398" t="s">
        <v>192</v>
      </c>
      <c r="C398" t="s">
        <v>1013</v>
      </c>
      <c r="D398">
        <v>735892521</v>
      </c>
      <c r="E398" t="s">
        <v>18</v>
      </c>
      <c r="F398" s="1">
        <v>45268</v>
      </c>
      <c r="G398" t="s">
        <v>412</v>
      </c>
      <c r="H398" s="2">
        <v>1263.4100000000001</v>
      </c>
      <c r="I398" t="s">
        <v>25</v>
      </c>
      <c r="J398" t="s">
        <v>33</v>
      </c>
      <c r="K398" t="s">
        <v>12</v>
      </c>
    </row>
    <row r="399" spans="1:11" x14ac:dyDescent="0.25">
      <c r="A399" t="s">
        <v>584</v>
      </c>
      <c r="B399" t="s">
        <v>68</v>
      </c>
      <c r="C399" t="s">
        <v>585</v>
      </c>
      <c r="D399">
        <v>699605788</v>
      </c>
      <c r="E399" t="s">
        <v>18</v>
      </c>
      <c r="F399" s="1">
        <v>45727</v>
      </c>
      <c r="G399" t="s">
        <v>440</v>
      </c>
      <c r="H399" s="2">
        <v>546.98</v>
      </c>
      <c r="I399" t="s">
        <v>25</v>
      </c>
      <c r="J399" t="s">
        <v>11</v>
      </c>
      <c r="K399" t="s">
        <v>12</v>
      </c>
    </row>
    <row r="400" spans="1:11" x14ac:dyDescent="0.25">
      <c r="A400" t="s">
        <v>631</v>
      </c>
      <c r="B400" t="s">
        <v>54</v>
      </c>
      <c r="C400" t="s">
        <v>632</v>
      </c>
      <c r="D400">
        <v>717372411</v>
      </c>
      <c r="E400" t="s">
        <v>9</v>
      </c>
      <c r="F400" s="1">
        <v>45786</v>
      </c>
      <c r="G400" t="s">
        <v>14</v>
      </c>
      <c r="H400" s="2">
        <v>1316.99</v>
      </c>
      <c r="I400" t="s">
        <v>25</v>
      </c>
      <c r="J400" t="s">
        <v>22</v>
      </c>
      <c r="K400" t="s">
        <v>12</v>
      </c>
    </row>
    <row r="401" spans="1:11" x14ac:dyDescent="0.25">
      <c r="A401" t="s">
        <v>1014</v>
      </c>
      <c r="B401" t="s">
        <v>120</v>
      </c>
      <c r="C401" t="s">
        <v>1015</v>
      </c>
      <c r="D401">
        <v>701325298</v>
      </c>
      <c r="E401" t="s">
        <v>9</v>
      </c>
      <c r="F401" s="1">
        <v>45710</v>
      </c>
      <c r="G401" t="s">
        <v>440</v>
      </c>
      <c r="H401" s="2">
        <v>392.19</v>
      </c>
      <c r="I401" t="s">
        <v>25</v>
      </c>
      <c r="J401" t="s">
        <v>33</v>
      </c>
      <c r="K401" t="s">
        <v>16</v>
      </c>
    </row>
    <row r="402" spans="1:11" x14ac:dyDescent="0.25">
      <c r="A402" t="s">
        <v>469</v>
      </c>
      <c r="B402" t="s">
        <v>304</v>
      </c>
      <c r="C402" t="s">
        <v>470</v>
      </c>
      <c r="D402">
        <v>742924464</v>
      </c>
      <c r="E402" t="s">
        <v>18</v>
      </c>
      <c r="F402" s="1">
        <v>45410</v>
      </c>
      <c r="G402" t="s">
        <v>443</v>
      </c>
      <c r="H402" s="2">
        <v>1855.51</v>
      </c>
      <c r="I402" t="s">
        <v>25</v>
      </c>
      <c r="J402" t="s">
        <v>11</v>
      </c>
      <c r="K402" t="s">
        <v>16</v>
      </c>
    </row>
    <row r="403" spans="1:11" x14ac:dyDescent="0.25">
      <c r="A403" t="s">
        <v>1016</v>
      </c>
      <c r="B403" t="s">
        <v>73</v>
      </c>
      <c r="C403" t="s">
        <v>1017</v>
      </c>
      <c r="D403">
        <v>734163439</v>
      </c>
      <c r="E403" t="s">
        <v>9</v>
      </c>
      <c r="F403" s="1">
        <v>45197</v>
      </c>
      <c r="G403" t="s">
        <v>451</v>
      </c>
      <c r="H403" s="2">
        <v>19.149999999999999</v>
      </c>
      <c r="I403" t="s">
        <v>25</v>
      </c>
      <c r="J403" t="s">
        <v>22</v>
      </c>
      <c r="K403" t="s">
        <v>16</v>
      </c>
    </row>
    <row r="404" spans="1:11" x14ac:dyDescent="0.25">
      <c r="A404" t="s">
        <v>510</v>
      </c>
      <c r="B404" t="s">
        <v>72</v>
      </c>
      <c r="C404" t="s">
        <v>511</v>
      </c>
      <c r="D404">
        <v>965928716</v>
      </c>
      <c r="E404" t="s">
        <v>9</v>
      </c>
      <c r="F404" s="1">
        <v>45635</v>
      </c>
      <c r="G404" t="s">
        <v>21</v>
      </c>
      <c r="H404" s="2">
        <v>508.67</v>
      </c>
      <c r="I404" t="s">
        <v>25</v>
      </c>
      <c r="J404" t="s">
        <v>22</v>
      </c>
      <c r="K404" t="s">
        <v>16</v>
      </c>
    </row>
    <row r="405" spans="1:11" x14ac:dyDescent="0.25">
      <c r="A405" t="s">
        <v>798</v>
      </c>
      <c r="B405" t="s">
        <v>52</v>
      </c>
      <c r="C405" t="s">
        <v>799</v>
      </c>
      <c r="D405">
        <v>913421545</v>
      </c>
      <c r="E405" t="s">
        <v>18</v>
      </c>
      <c r="F405" s="1">
        <v>45474</v>
      </c>
      <c r="G405" t="s">
        <v>29</v>
      </c>
      <c r="H405" s="2">
        <v>542.41999999999996</v>
      </c>
      <c r="I405" t="s">
        <v>25</v>
      </c>
      <c r="J405" t="s">
        <v>36</v>
      </c>
      <c r="K405" t="s">
        <v>16</v>
      </c>
    </row>
    <row r="406" spans="1:11" x14ac:dyDescent="0.25">
      <c r="A406" t="s">
        <v>741</v>
      </c>
      <c r="B406" t="s">
        <v>99</v>
      </c>
      <c r="C406" t="s">
        <v>742</v>
      </c>
      <c r="D406">
        <v>958161330</v>
      </c>
      <c r="E406" t="s">
        <v>13</v>
      </c>
      <c r="F406" s="1">
        <v>45254</v>
      </c>
      <c r="G406" t="s">
        <v>35</v>
      </c>
      <c r="H406" s="2">
        <v>630.70000000000005</v>
      </c>
      <c r="I406" t="s">
        <v>25</v>
      </c>
      <c r="J406" t="s">
        <v>36</v>
      </c>
      <c r="K406" t="s">
        <v>12</v>
      </c>
    </row>
    <row r="407" spans="1:11" x14ac:dyDescent="0.25">
      <c r="A407" t="s">
        <v>1018</v>
      </c>
      <c r="B407" t="s">
        <v>59</v>
      </c>
      <c r="C407" t="s">
        <v>1019</v>
      </c>
      <c r="D407">
        <v>635448926</v>
      </c>
      <c r="E407" t="s">
        <v>18</v>
      </c>
      <c r="F407" s="1">
        <v>45338</v>
      </c>
      <c r="G407" t="s">
        <v>506</v>
      </c>
      <c r="H407" s="2">
        <v>813.14</v>
      </c>
      <c r="I407" t="s">
        <v>25</v>
      </c>
      <c r="J407" t="s">
        <v>36</v>
      </c>
      <c r="K407" t="s">
        <v>12</v>
      </c>
    </row>
    <row r="408" spans="1:11" x14ac:dyDescent="0.25">
      <c r="A408" t="s">
        <v>841</v>
      </c>
      <c r="B408" t="s">
        <v>275</v>
      </c>
      <c r="C408" t="s">
        <v>842</v>
      </c>
      <c r="D408">
        <v>709339074</v>
      </c>
      <c r="E408" t="s">
        <v>9</v>
      </c>
      <c r="F408" s="1">
        <v>45881</v>
      </c>
      <c r="G408" t="s">
        <v>460</v>
      </c>
      <c r="H408" s="2">
        <v>1777.55</v>
      </c>
      <c r="I408" t="s">
        <v>25</v>
      </c>
      <c r="J408" t="s">
        <v>33</v>
      </c>
      <c r="K408" t="s">
        <v>12</v>
      </c>
    </row>
    <row r="409" spans="1:11" x14ac:dyDescent="0.25">
      <c r="A409" t="s">
        <v>970</v>
      </c>
      <c r="B409" t="s">
        <v>289</v>
      </c>
      <c r="C409" t="s">
        <v>971</v>
      </c>
      <c r="D409">
        <v>804914249</v>
      </c>
      <c r="E409" t="s">
        <v>9</v>
      </c>
      <c r="F409" s="1">
        <v>45471</v>
      </c>
      <c r="G409" t="s">
        <v>418</v>
      </c>
      <c r="H409" s="2">
        <v>53.55</v>
      </c>
      <c r="I409" t="s">
        <v>444</v>
      </c>
      <c r="J409" t="s">
        <v>11</v>
      </c>
      <c r="K409" t="s">
        <v>16</v>
      </c>
    </row>
    <row r="410" spans="1:11" x14ac:dyDescent="0.25">
      <c r="A410" t="s">
        <v>1020</v>
      </c>
      <c r="B410" t="s">
        <v>371</v>
      </c>
      <c r="C410" t="s">
        <v>1021</v>
      </c>
      <c r="D410">
        <v>897963507</v>
      </c>
      <c r="E410" t="s">
        <v>18</v>
      </c>
      <c r="F410" s="1">
        <v>45733</v>
      </c>
      <c r="G410" t="s">
        <v>29</v>
      </c>
      <c r="H410" s="2">
        <v>730.32</v>
      </c>
      <c r="I410" t="s">
        <v>25</v>
      </c>
      <c r="J410" t="s">
        <v>26</v>
      </c>
      <c r="K410" t="s">
        <v>16</v>
      </c>
    </row>
    <row r="411" spans="1:11" x14ac:dyDescent="0.25">
      <c r="A411" t="s">
        <v>921</v>
      </c>
      <c r="B411" t="s">
        <v>922</v>
      </c>
      <c r="C411" t="s">
        <v>923</v>
      </c>
      <c r="D411">
        <v>722992018</v>
      </c>
      <c r="E411" t="s">
        <v>9</v>
      </c>
      <c r="F411" s="1">
        <v>45584</v>
      </c>
      <c r="G411" t="s">
        <v>460</v>
      </c>
      <c r="H411" s="2">
        <v>1148.43</v>
      </c>
      <c r="I411" t="s">
        <v>25</v>
      </c>
      <c r="J411" t="s">
        <v>33</v>
      </c>
      <c r="K411" t="s">
        <v>12</v>
      </c>
    </row>
    <row r="412" spans="1:11" x14ac:dyDescent="0.25">
      <c r="A412" t="s">
        <v>1022</v>
      </c>
      <c r="B412" t="s">
        <v>181</v>
      </c>
      <c r="C412" t="s">
        <v>1023</v>
      </c>
      <c r="D412">
        <v>711121687</v>
      </c>
      <c r="E412" t="s">
        <v>18</v>
      </c>
      <c r="F412" s="1">
        <v>45795</v>
      </c>
      <c r="G412" t="s">
        <v>423</v>
      </c>
      <c r="H412" s="2">
        <v>1320.7</v>
      </c>
      <c r="I412" t="s">
        <v>444</v>
      </c>
      <c r="J412" t="s">
        <v>11</v>
      </c>
      <c r="K412" t="s">
        <v>16</v>
      </c>
    </row>
    <row r="413" spans="1:11" x14ac:dyDescent="0.25">
      <c r="A413" t="s">
        <v>909</v>
      </c>
      <c r="B413" t="s">
        <v>284</v>
      </c>
      <c r="C413" t="s">
        <v>910</v>
      </c>
      <c r="D413">
        <v>707714744</v>
      </c>
      <c r="E413" t="s">
        <v>13</v>
      </c>
      <c r="F413" s="1">
        <v>45304</v>
      </c>
      <c r="G413" t="s">
        <v>451</v>
      </c>
      <c r="H413" s="2">
        <v>1546.59</v>
      </c>
      <c r="I413" t="s">
        <v>25</v>
      </c>
      <c r="J413" t="s">
        <v>11</v>
      </c>
      <c r="K413" t="s">
        <v>12</v>
      </c>
    </row>
    <row r="414" spans="1:11" x14ac:dyDescent="0.25">
      <c r="A414" t="s">
        <v>845</v>
      </c>
      <c r="B414" t="s">
        <v>174</v>
      </c>
      <c r="C414" t="s">
        <v>846</v>
      </c>
      <c r="D414">
        <v>739067408</v>
      </c>
      <c r="E414" t="s">
        <v>9</v>
      </c>
      <c r="F414" s="1">
        <v>45563</v>
      </c>
      <c r="G414" t="s">
        <v>460</v>
      </c>
      <c r="H414" s="2">
        <v>1339.88</v>
      </c>
      <c r="I414" t="s">
        <v>25</v>
      </c>
      <c r="J414" t="s">
        <v>26</v>
      </c>
      <c r="K414" t="s">
        <v>16</v>
      </c>
    </row>
    <row r="415" spans="1:11" x14ac:dyDescent="0.25">
      <c r="A415" t="s">
        <v>1024</v>
      </c>
      <c r="B415" t="s">
        <v>78</v>
      </c>
      <c r="C415" t="s">
        <v>1025</v>
      </c>
      <c r="D415">
        <v>747208220</v>
      </c>
      <c r="E415" t="s">
        <v>18</v>
      </c>
      <c r="F415" s="1">
        <v>45852</v>
      </c>
      <c r="G415" t="s">
        <v>624</v>
      </c>
      <c r="H415" s="2">
        <v>396.65</v>
      </c>
      <c r="I415" t="s">
        <v>25</v>
      </c>
      <c r="J415" t="s">
        <v>11</v>
      </c>
      <c r="K415" t="s">
        <v>12</v>
      </c>
    </row>
    <row r="416" spans="1:11" x14ac:dyDescent="0.25">
      <c r="A416" t="s">
        <v>1026</v>
      </c>
      <c r="B416" t="s">
        <v>28</v>
      </c>
      <c r="C416" t="s">
        <v>1027</v>
      </c>
      <c r="D416">
        <v>955471414</v>
      </c>
      <c r="E416" t="s">
        <v>9</v>
      </c>
      <c r="F416" s="1">
        <v>45240</v>
      </c>
      <c r="G416" t="s">
        <v>39</v>
      </c>
      <c r="H416" s="2">
        <v>1069.8499999999999</v>
      </c>
      <c r="I416" t="s">
        <v>25</v>
      </c>
      <c r="J416" t="s">
        <v>22</v>
      </c>
      <c r="K416" t="s">
        <v>16</v>
      </c>
    </row>
    <row r="417" spans="1:11" x14ac:dyDescent="0.25">
      <c r="A417" t="s">
        <v>488</v>
      </c>
      <c r="B417" t="s">
        <v>399</v>
      </c>
      <c r="C417" t="s">
        <v>489</v>
      </c>
      <c r="D417">
        <v>813853467</v>
      </c>
      <c r="E417" t="s">
        <v>9</v>
      </c>
      <c r="F417" s="1">
        <v>45707</v>
      </c>
      <c r="G417" t="s">
        <v>32</v>
      </c>
      <c r="H417" s="2">
        <v>695.76</v>
      </c>
      <c r="I417" t="s">
        <v>25</v>
      </c>
      <c r="J417" t="s">
        <v>22</v>
      </c>
      <c r="K417" t="s">
        <v>12</v>
      </c>
    </row>
    <row r="418" spans="1:11" x14ac:dyDescent="0.25">
      <c r="A418" t="s">
        <v>1028</v>
      </c>
      <c r="B418" t="s">
        <v>356</v>
      </c>
      <c r="C418" t="s">
        <v>1029</v>
      </c>
      <c r="D418">
        <v>699894729</v>
      </c>
      <c r="E418" t="s">
        <v>9</v>
      </c>
      <c r="F418" s="1">
        <v>45236</v>
      </c>
      <c r="G418" t="s">
        <v>603</v>
      </c>
      <c r="H418" s="2">
        <v>1584.48</v>
      </c>
      <c r="I418" t="s">
        <v>507</v>
      </c>
      <c r="J418" t="s">
        <v>33</v>
      </c>
      <c r="K418" t="s">
        <v>12</v>
      </c>
    </row>
    <row r="419" spans="1:11" x14ac:dyDescent="0.25">
      <c r="A419" t="s">
        <v>919</v>
      </c>
      <c r="B419" t="s">
        <v>338</v>
      </c>
      <c r="C419" t="s">
        <v>920</v>
      </c>
      <c r="D419">
        <v>650924818</v>
      </c>
      <c r="E419" t="s">
        <v>18</v>
      </c>
      <c r="F419" s="1">
        <v>45225</v>
      </c>
      <c r="G419" t="s">
        <v>19</v>
      </c>
      <c r="H419" s="2">
        <v>1313.8</v>
      </c>
      <c r="I419" t="s">
        <v>25</v>
      </c>
      <c r="J419" t="s">
        <v>11</v>
      </c>
      <c r="K419" t="s">
        <v>16</v>
      </c>
    </row>
    <row r="420" spans="1:11" x14ac:dyDescent="0.25">
      <c r="A420" t="s">
        <v>1030</v>
      </c>
      <c r="B420" t="s">
        <v>253</v>
      </c>
      <c r="C420" t="s">
        <v>1031</v>
      </c>
      <c r="D420">
        <v>921591687</v>
      </c>
      <c r="E420" t="s">
        <v>9</v>
      </c>
      <c r="F420" s="1">
        <v>45463</v>
      </c>
      <c r="G420" t="s">
        <v>415</v>
      </c>
      <c r="H420" s="2">
        <v>1124.47</v>
      </c>
      <c r="I420" t="s">
        <v>444</v>
      </c>
      <c r="J420" t="s">
        <v>22</v>
      </c>
      <c r="K420" t="s">
        <v>12</v>
      </c>
    </row>
    <row r="421" spans="1:11" x14ac:dyDescent="0.25">
      <c r="A421" t="s">
        <v>835</v>
      </c>
      <c r="B421" t="s">
        <v>83</v>
      </c>
      <c r="C421" t="s">
        <v>836</v>
      </c>
      <c r="D421">
        <v>720195198</v>
      </c>
      <c r="E421" t="s">
        <v>18</v>
      </c>
      <c r="F421" s="1">
        <v>45657</v>
      </c>
      <c r="G421" t="s">
        <v>518</v>
      </c>
      <c r="H421" s="2">
        <v>1077.81</v>
      </c>
      <c r="I421" t="s">
        <v>25</v>
      </c>
      <c r="J421" t="s">
        <v>11</v>
      </c>
      <c r="K421" t="s">
        <v>12</v>
      </c>
    </row>
    <row r="422" spans="1:11" x14ac:dyDescent="0.25">
      <c r="A422" t="s">
        <v>911</v>
      </c>
      <c r="B422" t="s">
        <v>397</v>
      </c>
      <c r="C422" t="s">
        <v>912</v>
      </c>
      <c r="D422">
        <v>741356026</v>
      </c>
      <c r="E422" t="s">
        <v>9</v>
      </c>
      <c r="F422" s="1">
        <v>45660</v>
      </c>
      <c r="G422" t="s">
        <v>478</v>
      </c>
      <c r="H422" s="2">
        <v>1128.68</v>
      </c>
      <c r="I422" t="s">
        <v>25</v>
      </c>
      <c r="J422" t="s">
        <v>22</v>
      </c>
      <c r="K422" t="s">
        <v>16</v>
      </c>
    </row>
    <row r="423" spans="1:11" x14ac:dyDescent="0.25">
      <c r="A423" t="s">
        <v>725</v>
      </c>
      <c r="B423" t="s">
        <v>145</v>
      </c>
      <c r="C423" t="s">
        <v>726</v>
      </c>
      <c r="D423">
        <v>735567153</v>
      </c>
      <c r="E423" t="s">
        <v>9</v>
      </c>
      <c r="F423" s="1">
        <v>45715</v>
      </c>
      <c r="G423" t="s">
        <v>460</v>
      </c>
      <c r="H423" s="2">
        <v>1670.96</v>
      </c>
      <c r="I423" t="s">
        <v>25</v>
      </c>
      <c r="J423" t="s">
        <v>33</v>
      </c>
      <c r="K423" t="s">
        <v>16</v>
      </c>
    </row>
    <row r="424" spans="1:11" x14ac:dyDescent="0.25">
      <c r="A424" t="s">
        <v>465</v>
      </c>
      <c r="B424" t="s">
        <v>355</v>
      </c>
      <c r="C424" t="s">
        <v>466</v>
      </c>
      <c r="D424">
        <v>740369847</v>
      </c>
      <c r="E424" t="s">
        <v>18</v>
      </c>
      <c r="F424" s="1">
        <v>45806</v>
      </c>
      <c r="G424" t="s">
        <v>451</v>
      </c>
      <c r="H424" s="2">
        <v>1942.66</v>
      </c>
      <c r="I424" t="s">
        <v>25</v>
      </c>
      <c r="J424" t="s">
        <v>11</v>
      </c>
      <c r="K424" t="s">
        <v>12</v>
      </c>
    </row>
    <row r="425" spans="1:11" x14ac:dyDescent="0.25">
      <c r="A425" t="s">
        <v>1032</v>
      </c>
      <c r="B425" t="s">
        <v>382</v>
      </c>
      <c r="C425" t="s">
        <v>1033</v>
      </c>
      <c r="D425">
        <v>869663629</v>
      </c>
      <c r="E425" t="s">
        <v>9</v>
      </c>
      <c r="F425" s="1">
        <v>45639</v>
      </c>
      <c r="G425" t="s">
        <v>518</v>
      </c>
      <c r="H425" s="2">
        <v>236.29</v>
      </c>
      <c r="I425" t="s">
        <v>444</v>
      </c>
      <c r="J425" t="s">
        <v>33</v>
      </c>
      <c r="K425" t="s">
        <v>16</v>
      </c>
    </row>
    <row r="426" spans="1:11" x14ac:dyDescent="0.25">
      <c r="A426" t="s">
        <v>545</v>
      </c>
      <c r="B426" t="s">
        <v>334</v>
      </c>
      <c r="C426" t="s">
        <v>546</v>
      </c>
      <c r="D426">
        <v>739112559</v>
      </c>
      <c r="E426" t="s">
        <v>9</v>
      </c>
      <c r="F426" s="1">
        <v>45864</v>
      </c>
      <c r="G426" t="s">
        <v>443</v>
      </c>
      <c r="H426" s="2">
        <v>1277.72</v>
      </c>
      <c r="I426" t="s">
        <v>25</v>
      </c>
      <c r="J426" t="s">
        <v>11</v>
      </c>
      <c r="K426" t="s">
        <v>12</v>
      </c>
    </row>
    <row r="427" spans="1:11" x14ac:dyDescent="0.25">
      <c r="A427" t="s">
        <v>1034</v>
      </c>
      <c r="B427" t="s">
        <v>344</v>
      </c>
      <c r="C427" t="s">
        <v>1035</v>
      </c>
      <c r="D427">
        <v>708316692</v>
      </c>
      <c r="E427" t="s">
        <v>9</v>
      </c>
      <c r="F427" s="1">
        <v>45483</v>
      </c>
      <c r="G427" t="s">
        <v>412</v>
      </c>
      <c r="H427" s="2">
        <v>674.89</v>
      </c>
      <c r="I427" t="s">
        <v>25</v>
      </c>
      <c r="J427" t="s">
        <v>22</v>
      </c>
      <c r="K427" t="s">
        <v>12</v>
      </c>
    </row>
    <row r="428" spans="1:11" x14ac:dyDescent="0.25">
      <c r="A428" t="s">
        <v>660</v>
      </c>
      <c r="B428" t="s">
        <v>325</v>
      </c>
      <c r="C428" t="s">
        <v>661</v>
      </c>
      <c r="D428">
        <v>727937300</v>
      </c>
      <c r="E428" t="s">
        <v>9</v>
      </c>
      <c r="F428" s="1">
        <v>45861</v>
      </c>
      <c r="G428" t="s">
        <v>47</v>
      </c>
      <c r="H428" s="2">
        <v>68.33</v>
      </c>
      <c r="I428" t="s">
        <v>25</v>
      </c>
      <c r="J428" t="s">
        <v>11</v>
      </c>
      <c r="K428" t="s">
        <v>12</v>
      </c>
    </row>
    <row r="429" spans="1:11" x14ac:dyDescent="0.25">
      <c r="A429" t="s">
        <v>1036</v>
      </c>
      <c r="B429" t="s">
        <v>193</v>
      </c>
      <c r="C429" t="s">
        <v>1037</v>
      </c>
      <c r="D429">
        <v>716805697</v>
      </c>
      <c r="E429" t="s">
        <v>9</v>
      </c>
      <c r="F429" s="1">
        <v>45483</v>
      </c>
      <c r="G429" t="s">
        <v>21</v>
      </c>
      <c r="H429" s="2">
        <v>1349.97</v>
      </c>
      <c r="I429" t="s">
        <v>25</v>
      </c>
      <c r="J429" t="s">
        <v>36</v>
      </c>
      <c r="K429" t="s">
        <v>16</v>
      </c>
    </row>
    <row r="430" spans="1:11" x14ac:dyDescent="0.25">
      <c r="A430" t="s">
        <v>673</v>
      </c>
      <c r="B430" t="s">
        <v>331</v>
      </c>
      <c r="C430" t="s">
        <v>674</v>
      </c>
      <c r="D430">
        <v>708260146</v>
      </c>
      <c r="E430" t="s">
        <v>13</v>
      </c>
      <c r="F430" s="1">
        <v>45339</v>
      </c>
      <c r="G430" t="s">
        <v>10</v>
      </c>
      <c r="H430" s="2">
        <v>1926.88</v>
      </c>
      <c r="I430" t="s">
        <v>25</v>
      </c>
      <c r="J430" t="s">
        <v>11</v>
      </c>
      <c r="K430" t="s">
        <v>16</v>
      </c>
    </row>
    <row r="431" spans="1:11" x14ac:dyDescent="0.25">
      <c r="A431" t="s">
        <v>705</v>
      </c>
      <c r="B431" t="s">
        <v>165</v>
      </c>
      <c r="C431" t="s">
        <v>706</v>
      </c>
      <c r="D431">
        <v>992824041</v>
      </c>
      <c r="E431" t="s">
        <v>13</v>
      </c>
      <c r="F431" s="1">
        <v>45187</v>
      </c>
      <c r="G431" t="s">
        <v>29</v>
      </c>
      <c r="H431" s="2">
        <v>1622.79</v>
      </c>
      <c r="I431" t="s">
        <v>444</v>
      </c>
      <c r="J431" t="s">
        <v>22</v>
      </c>
      <c r="K431" t="s">
        <v>16</v>
      </c>
    </row>
    <row r="432" spans="1:11" x14ac:dyDescent="0.25">
      <c r="A432" t="s">
        <v>707</v>
      </c>
      <c r="B432" t="s">
        <v>143</v>
      </c>
      <c r="C432" t="s">
        <v>708</v>
      </c>
      <c r="D432">
        <v>813178789</v>
      </c>
      <c r="E432" t="s">
        <v>18</v>
      </c>
      <c r="F432" s="1">
        <v>45441</v>
      </c>
      <c r="G432" t="s">
        <v>440</v>
      </c>
      <c r="H432" s="2">
        <v>1138.23</v>
      </c>
      <c r="I432" t="s">
        <v>25</v>
      </c>
      <c r="J432" t="s">
        <v>11</v>
      </c>
      <c r="K432" t="s">
        <v>12</v>
      </c>
    </row>
    <row r="433" spans="1:11" x14ac:dyDescent="0.25">
      <c r="A433" t="s">
        <v>1038</v>
      </c>
      <c r="B433" t="s">
        <v>105</v>
      </c>
      <c r="C433" t="s">
        <v>1039</v>
      </c>
      <c r="D433">
        <v>701661772</v>
      </c>
      <c r="E433" t="s">
        <v>9</v>
      </c>
      <c r="F433" s="1">
        <v>45283</v>
      </c>
      <c r="G433" t="s">
        <v>412</v>
      </c>
      <c r="H433" s="2">
        <v>487.93</v>
      </c>
      <c r="I433" t="s">
        <v>25</v>
      </c>
      <c r="J433" t="s">
        <v>33</v>
      </c>
      <c r="K433" t="s">
        <v>16</v>
      </c>
    </row>
    <row r="434" spans="1:11" x14ac:dyDescent="0.25">
      <c r="A434" t="s">
        <v>1040</v>
      </c>
      <c r="B434" t="s">
        <v>276</v>
      </c>
      <c r="C434" t="s">
        <v>1041</v>
      </c>
      <c r="D434">
        <v>903785899</v>
      </c>
      <c r="E434" t="s">
        <v>18</v>
      </c>
      <c r="F434" s="1">
        <v>45776</v>
      </c>
      <c r="G434" t="s">
        <v>460</v>
      </c>
      <c r="H434" s="2">
        <v>1551.91</v>
      </c>
      <c r="I434" t="s">
        <v>444</v>
      </c>
      <c r="J434" t="s">
        <v>26</v>
      </c>
      <c r="K434" t="s">
        <v>12</v>
      </c>
    </row>
    <row r="435" spans="1:11" x14ac:dyDescent="0.25">
      <c r="A435" t="s">
        <v>1042</v>
      </c>
      <c r="B435" t="s">
        <v>1043</v>
      </c>
      <c r="C435" t="s">
        <v>1044</v>
      </c>
      <c r="D435">
        <v>917893213</v>
      </c>
      <c r="E435" t="s">
        <v>18</v>
      </c>
      <c r="F435" s="1">
        <v>45896</v>
      </c>
      <c r="G435" t="s">
        <v>440</v>
      </c>
      <c r="H435" s="2">
        <v>1399.7</v>
      </c>
      <c r="I435" t="s">
        <v>25</v>
      </c>
      <c r="J435" t="s">
        <v>36</v>
      </c>
      <c r="K435" t="s">
        <v>12</v>
      </c>
    </row>
    <row r="436" spans="1:11" x14ac:dyDescent="0.25">
      <c r="A436" t="s">
        <v>1045</v>
      </c>
      <c r="B436" t="s">
        <v>1046</v>
      </c>
      <c r="C436" t="s">
        <v>1047</v>
      </c>
      <c r="D436">
        <v>613863491</v>
      </c>
      <c r="E436" t="s">
        <v>9</v>
      </c>
      <c r="F436" s="1">
        <v>45644</v>
      </c>
      <c r="G436" t="s">
        <v>423</v>
      </c>
      <c r="H436" s="2">
        <v>475.83</v>
      </c>
      <c r="I436" t="s">
        <v>25</v>
      </c>
      <c r="J436" t="s">
        <v>11</v>
      </c>
      <c r="K436" t="s">
        <v>16</v>
      </c>
    </row>
    <row r="437" spans="1:11" x14ac:dyDescent="0.25">
      <c r="A437" t="s">
        <v>697</v>
      </c>
      <c r="B437" t="s">
        <v>293</v>
      </c>
      <c r="C437" t="s">
        <v>698</v>
      </c>
      <c r="D437">
        <v>704058112</v>
      </c>
      <c r="E437" t="s">
        <v>18</v>
      </c>
      <c r="F437" s="1">
        <v>45826</v>
      </c>
      <c r="G437" t="s">
        <v>412</v>
      </c>
      <c r="H437" s="2">
        <v>254.31</v>
      </c>
      <c r="I437" t="s">
        <v>25</v>
      </c>
      <c r="J437" t="s">
        <v>11</v>
      </c>
      <c r="K437" t="s">
        <v>12</v>
      </c>
    </row>
    <row r="438" spans="1:11" x14ac:dyDescent="0.25">
      <c r="A438" t="s">
        <v>1048</v>
      </c>
      <c r="B438" t="s">
        <v>133</v>
      </c>
      <c r="C438" t="s">
        <v>1049</v>
      </c>
      <c r="D438">
        <v>730098459</v>
      </c>
      <c r="E438" t="s">
        <v>9</v>
      </c>
      <c r="F438" s="1">
        <v>45284</v>
      </c>
      <c r="G438" t="s">
        <v>47</v>
      </c>
      <c r="H438" s="2">
        <v>1950.69</v>
      </c>
      <c r="I438" t="s">
        <v>25</v>
      </c>
      <c r="J438" t="s">
        <v>22</v>
      </c>
      <c r="K438" t="s">
        <v>12</v>
      </c>
    </row>
    <row r="439" spans="1:11" x14ac:dyDescent="0.25">
      <c r="A439" t="s">
        <v>1050</v>
      </c>
      <c r="B439" t="s">
        <v>380</v>
      </c>
      <c r="C439" t="s">
        <v>1051</v>
      </c>
      <c r="D439">
        <v>724173510</v>
      </c>
      <c r="E439" t="s">
        <v>9</v>
      </c>
      <c r="F439" s="1">
        <v>45332</v>
      </c>
      <c r="G439" t="s">
        <v>506</v>
      </c>
      <c r="H439" s="2">
        <v>830.15</v>
      </c>
      <c r="I439" t="s">
        <v>25</v>
      </c>
      <c r="J439" t="s">
        <v>22</v>
      </c>
      <c r="K439" t="s">
        <v>16</v>
      </c>
    </row>
    <row r="440" spans="1:11" x14ac:dyDescent="0.25">
      <c r="A440" t="s">
        <v>1052</v>
      </c>
      <c r="B440" t="s">
        <v>152</v>
      </c>
      <c r="C440" t="s">
        <v>1053</v>
      </c>
      <c r="D440">
        <v>996279256</v>
      </c>
      <c r="E440" t="s">
        <v>9</v>
      </c>
      <c r="F440" s="1">
        <v>45422</v>
      </c>
      <c r="G440" t="s">
        <v>478</v>
      </c>
      <c r="H440" s="2">
        <v>77.2</v>
      </c>
      <c r="I440" t="s">
        <v>25</v>
      </c>
      <c r="J440" t="s">
        <v>22</v>
      </c>
      <c r="K440" t="s">
        <v>16</v>
      </c>
    </row>
    <row r="441" spans="1:11" x14ac:dyDescent="0.25">
      <c r="A441" t="s">
        <v>1054</v>
      </c>
      <c r="B441" t="s">
        <v>312</v>
      </c>
      <c r="C441" t="s">
        <v>1055</v>
      </c>
      <c r="D441">
        <v>742903473</v>
      </c>
      <c r="E441" t="s">
        <v>9</v>
      </c>
      <c r="F441" s="1">
        <v>45302</v>
      </c>
      <c r="G441" t="s">
        <v>418</v>
      </c>
      <c r="H441" s="2">
        <v>743.7</v>
      </c>
      <c r="I441" t="s">
        <v>25</v>
      </c>
      <c r="J441" t="s">
        <v>33</v>
      </c>
      <c r="K441" t="s">
        <v>16</v>
      </c>
    </row>
    <row r="442" spans="1:11" x14ac:dyDescent="0.25">
      <c r="A442" t="s">
        <v>627</v>
      </c>
      <c r="B442" t="s">
        <v>58</v>
      </c>
      <c r="C442" t="s">
        <v>628</v>
      </c>
      <c r="D442">
        <v>970397357</v>
      </c>
      <c r="E442" t="s">
        <v>18</v>
      </c>
      <c r="F442" s="1">
        <v>45589</v>
      </c>
      <c r="G442" t="s">
        <v>418</v>
      </c>
      <c r="H442" s="2">
        <v>985.27</v>
      </c>
      <c r="I442" t="s">
        <v>25</v>
      </c>
      <c r="J442" t="s">
        <v>11</v>
      </c>
      <c r="K442" t="s">
        <v>16</v>
      </c>
    </row>
    <row r="443" spans="1:11" x14ac:dyDescent="0.25">
      <c r="A443" t="s">
        <v>930</v>
      </c>
      <c r="B443" t="s">
        <v>354</v>
      </c>
      <c r="C443" t="s">
        <v>931</v>
      </c>
      <c r="D443">
        <v>723693491</v>
      </c>
      <c r="E443" t="s">
        <v>9</v>
      </c>
      <c r="F443" s="1">
        <v>45885</v>
      </c>
      <c r="G443" t="s">
        <v>47</v>
      </c>
      <c r="H443" s="2">
        <v>872.93</v>
      </c>
      <c r="I443" t="s">
        <v>25</v>
      </c>
      <c r="J443" t="s">
        <v>11</v>
      </c>
      <c r="K443" t="s">
        <v>12</v>
      </c>
    </row>
    <row r="444" spans="1:11" x14ac:dyDescent="0.25">
      <c r="A444" t="s">
        <v>1056</v>
      </c>
      <c r="B444" t="s">
        <v>98</v>
      </c>
      <c r="C444" t="s">
        <v>1057</v>
      </c>
      <c r="D444">
        <v>714801888</v>
      </c>
      <c r="E444" t="s">
        <v>13</v>
      </c>
      <c r="F444" s="1">
        <v>45848</v>
      </c>
      <c r="G444" t="s">
        <v>451</v>
      </c>
      <c r="H444" s="2">
        <v>46.64</v>
      </c>
      <c r="I444" t="s">
        <v>25</v>
      </c>
      <c r="J444" t="s">
        <v>15</v>
      </c>
      <c r="K444" t="s">
        <v>16</v>
      </c>
    </row>
    <row r="445" spans="1:11" x14ac:dyDescent="0.25">
      <c r="A445" t="s">
        <v>853</v>
      </c>
      <c r="B445" t="s">
        <v>854</v>
      </c>
      <c r="C445" t="s">
        <v>855</v>
      </c>
      <c r="D445">
        <v>731844990</v>
      </c>
      <c r="E445" t="s">
        <v>18</v>
      </c>
      <c r="F445" s="1">
        <v>45465</v>
      </c>
      <c r="G445" t="s">
        <v>14</v>
      </c>
      <c r="H445" s="2">
        <v>1040.23</v>
      </c>
      <c r="I445" t="s">
        <v>25</v>
      </c>
      <c r="J445" t="s">
        <v>36</v>
      </c>
      <c r="K445" t="s">
        <v>12</v>
      </c>
    </row>
    <row r="446" spans="1:11" x14ac:dyDescent="0.25">
      <c r="A446" t="s">
        <v>1058</v>
      </c>
      <c r="B446" t="s">
        <v>342</v>
      </c>
      <c r="C446" t="s">
        <v>1059</v>
      </c>
      <c r="D446">
        <v>607402655</v>
      </c>
      <c r="E446" t="s">
        <v>18</v>
      </c>
      <c r="F446" s="1">
        <v>45727</v>
      </c>
      <c r="G446" t="s">
        <v>423</v>
      </c>
      <c r="H446" s="2">
        <v>84.72</v>
      </c>
      <c r="I446" t="s">
        <v>25</v>
      </c>
      <c r="J446" t="s">
        <v>11</v>
      </c>
      <c r="K446" t="s">
        <v>16</v>
      </c>
    </row>
    <row r="447" spans="1:11" x14ac:dyDescent="0.25">
      <c r="A447" t="s">
        <v>1060</v>
      </c>
      <c r="B447" t="s">
        <v>238</v>
      </c>
      <c r="C447" t="s">
        <v>1061</v>
      </c>
      <c r="D447">
        <v>971399015</v>
      </c>
      <c r="E447" t="s">
        <v>18</v>
      </c>
      <c r="F447" s="1">
        <v>45464</v>
      </c>
      <c r="G447" t="s">
        <v>518</v>
      </c>
      <c r="H447" s="2">
        <v>1323.38</v>
      </c>
      <c r="I447" t="s">
        <v>25</v>
      </c>
      <c r="J447" t="s">
        <v>26</v>
      </c>
      <c r="K447" t="s">
        <v>12</v>
      </c>
    </row>
    <row r="448" spans="1:11" x14ac:dyDescent="0.25">
      <c r="A448" t="s">
        <v>1062</v>
      </c>
      <c r="B448" t="s">
        <v>258</v>
      </c>
      <c r="C448" t="s">
        <v>1063</v>
      </c>
      <c r="D448">
        <v>746921271</v>
      </c>
      <c r="E448" t="s">
        <v>18</v>
      </c>
      <c r="F448" s="1">
        <v>45651</v>
      </c>
      <c r="G448" t="s">
        <v>19</v>
      </c>
      <c r="H448" s="2">
        <v>1898.42</v>
      </c>
      <c r="I448" t="s">
        <v>25</v>
      </c>
      <c r="J448" t="s">
        <v>11</v>
      </c>
      <c r="K448" t="s">
        <v>12</v>
      </c>
    </row>
    <row r="449" spans="1:11" x14ac:dyDescent="0.25">
      <c r="A449" t="s">
        <v>727</v>
      </c>
      <c r="B449" t="s">
        <v>365</v>
      </c>
      <c r="C449" t="s">
        <v>728</v>
      </c>
      <c r="D449">
        <v>720179790</v>
      </c>
      <c r="E449" t="s">
        <v>9</v>
      </c>
      <c r="F449" s="1">
        <v>45523</v>
      </c>
      <c r="G449" t="s">
        <v>443</v>
      </c>
      <c r="H449" s="2">
        <v>1254.3800000000001</v>
      </c>
      <c r="I449" t="s">
        <v>25</v>
      </c>
      <c r="J449" t="s">
        <v>26</v>
      </c>
      <c r="K449" t="s">
        <v>16</v>
      </c>
    </row>
    <row r="450" spans="1:11" x14ac:dyDescent="0.25">
      <c r="A450" t="s">
        <v>847</v>
      </c>
      <c r="B450" t="s">
        <v>256</v>
      </c>
      <c r="C450" t="s">
        <v>848</v>
      </c>
      <c r="D450">
        <v>733233840</v>
      </c>
      <c r="E450" t="s">
        <v>9</v>
      </c>
      <c r="F450" s="1">
        <v>45707</v>
      </c>
      <c r="G450" t="s">
        <v>475</v>
      </c>
      <c r="H450" s="2">
        <v>1275.79</v>
      </c>
      <c r="I450" t="s">
        <v>25</v>
      </c>
      <c r="J450" t="s">
        <v>22</v>
      </c>
      <c r="K450" t="s">
        <v>16</v>
      </c>
    </row>
    <row r="451" spans="1:11" x14ac:dyDescent="0.25">
      <c r="A451" t="s">
        <v>1064</v>
      </c>
      <c r="B451" t="s">
        <v>380</v>
      </c>
      <c r="C451" t="s">
        <v>1065</v>
      </c>
      <c r="D451">
        <v>704384474</v>
      </c>
      <c r="E451" t="s">
        <v>9</v>
      </c>
      <c r="F451" s="1">
        <v>45613</v>
      </c>
      <c r="G451" t="s">
        <v>412</v>
      </c>
      <c r="H451" s="2">
        <v>241.45</v>
      </c>
      <c r="I451" t="s">
        <v>25</v>
      </c>
      <c r="J451" t="s">
        <v>36</v>
      </c>
      <c r="K451" t="s">
        <v>16</v>
      </c>
    </row>
    <row r="452" spans="1:11" x14ac:dyDescent="0.25">
      <c r="A452" t="s">
        <v>1062</v>
      </c>
      <c r="B452" t="s">
        <v>258</v>
      </c>
      <c r="C452" t="s">
        <v>1063</v>
      </c>
      <c r="D452">
        <v>746921271</v>
      </c>
      <c r="E452" t="s">
        <v>18</v>
      </c>
      <c r="F452" s="1">
        <v>45878</v>
      </c>
      <c r="G452" t="s">
        <v>19</v>
      </c>
      <c r="H452" s="2">
        <v>492.4</v>
      </c>
      <c r="I452" t="s">
        <v>25</v>
      </c>
      <c r="J452" t="s">
        <v>33</v>
      </c>
      <c r="K452" t="s">
        <v>12</v>
      </c>
    </row>
    <row r="453" spans="1:11" x14ac:dyDescent="0.25">
      <c r="A453" t="s">
        <v>1066</v>
      </c>
      <c r="B453" t="s">
        <v>164</v>
      </c>
      <c r="C453" t="s">
        <v>1067</v>
      </c>
      <c r="D453">
        <v>722204395</v>
      </c>
      <c r="E453" t="s">
        <v>9</v>
      </c>
      <c r="F453" s="1">
        <v>45488</v>
      </c>
      <c r="G453" t="s">
        <v>475</v>
      </c>
      <c r="H453" s="2">
        <v>451.73</v>
      </c>
      <c r="I453" t="s">
        <v>25</v>
      </c>
      <c r="J453" t="s">
        <v>11</v>
      </c>
      <c r="K453" t="s">
        <v>16</v>
      </c>
    </row>
    <row r="454" spans="1:11" x14ac:dyDescent="0.25">
      <c r="A454" t="s">
        <v>735</v>
      </c>
      <c r="B454" t="s">
        <v>55</v>
      </c>
      <c r="C454" t="s">
        <v>736</v>
      </c>
      <c r="D454">
        <v>724968308</v>
      </c>
      <c r="E454" t="s">
        <v>9</v>
      </c>
      <c r="F454" s="1">
        <v>45257</v>
      </c>
      <c r="G454" t="s">
        <v>415</v>
      </c>
      <c r="H454" s="2">
        <v>1905.26</v>
      </c>
      <c r="I454" t="s">
        <v>25</v>
      </c>
      <c r="J454" t="s">
        <v>33</v>
      </c>
      <c r="K454" t="s">
        <v>16</v>
      </c>
    </row>
    <row r="455" spans="1:11" x14ac:dyDescent="0.25">
      <c r="A455" t="s">
        <v>1068</v>
      </c>
      <c r="B455" t="s">
        <v>81</v>
      </c>
      <c r="C455" t="s">
        <v>1069</v>
      </c>
      <c r="D455">
        <v>820771678</v>
      </c>
      <c r="E455" t="s">
        <v>9</v>
      </c>
      <c r="F455" s="1">
        <v>45666</v>
      </c>
      <c r="G455" t="s">
        <v>14</v>
      </c>
      <c r="H455" s="2">
        <v>134.93</v>
      </c>
      <c r="I455" t="s">
        <v>25</v>
      </c>
      <c r="J455" t="s">
        <v>22</v>
      </c>
      <c r="K455" t="s">
        <v>12</v>
      </c>
    </row>
    <row r="456" spans="1:11" x14ac:dyDescent="0.25">
      <c r="A456" t="s">
        <v>1070</v>
      </c>
      <c r="B456" t="s">
        <v>383</v>
      </c>
      <c r="C456" t="s">
        <v>1071</v>
      </c>
      <c r="D456">
        <v>746264285</v>
      </c>
      <c r="E456" t="s">
        <v>9</v>
      </c>
      <c r="F456" s="1">
        <v>45612</v>
      </c>
      <c r="G456" t="s">
        <v>47</v>
      </c>
      <c r="H456" s="2">
        <v>639.76</v>
      </c>
      <c r="I456" t="s">
        <v>25</v>
      </c>
      <c r="J456" t="s">
        <v>22</v>
      </c>
      <c r="K456" t="s">
        <v>16</v>
      </c>
    </row>
    <row r="457" spans="1:11" x14ac:dyDescent="0.25">
      <c r="A457" t="s">
        <v>1054</v>
      </c>
      <c r="B457" t="s">
        <v>312</v>
      </c>
      <c r="C457" t="s">
        <v>1055</v>
      </c>
      <c r="D457">
        <v>742903473</v>
      </c>
      <c r="E457" t="s">
        <v>9</v>
      </c>
      <c r="F457" s="1">
        <v>45643</v>
      </c>
      <c r="G457" t="s">
        <v>418</v>
      </c>
      <c r="H457" s="2">
        <v>1204.51</v>
      </c>
      <c r="I457" t="s">
        <v>25</v>
      </c>
      <c r="J457" t="s">
        <v>33</v>
      </c>
      <c r="K457" t="s">
        <v>16</v>
      </c>
    </row>
    <row r="458" spans="1:11" x14ac:dyDescent="0.25">
      <c r="A458" t="s">
        <v>1018</v>
      </c>
      <c r="B458" t="s">
        <v>59</v>
      </c>
      <c r="C458" t="s">
        <v>1019</v>
      </c>
      <c r="D458">
        <v>635448926</v>
      </c>
      <c r="E458" t="s">
        <v>18</v>
      </c>
      <c r="F458" s="1">
        <v>45656</v>
      </c>
      <c r="G458" t="s">
        <v>506</v>
      </c>
      <c r="H458" s="2">
        <v>1873.99</v>
      </c>
      <c r="I458" t="s">
        <v>25</v>
      </c>
      <c r="J458" t="s">
        <v>11</v>
      </c>
      <c r="K458" t="s">
        <v>12</v>
      </c>
    </row>
    <row r="459" spans="1:11" x14ac:dyDescent="0.25">
      <c r="A459" t="s">
        <v>604</v>
      </c>
      <c r="B459" t="s">
        <v>44</v>
      </c>
      <c r="C459" t="s">
        <v>605</v>
      </c>
      <c r="D459">
        <v>624519478</v>
      </c>
      <c r="E459" t="s">
        <v>18</v>
      </c>
      <c r="F459" s="1">
        <v>45713</v>
      </c>
      <c r="G459" t="s">
        <v>443</v>
      </c>
      <c r="H459" s="2">
        <v>1178.58</v>
      </c>
      <c r="I459" t="s">
        <v>25</v>
      </c>
      <c r="J459" t="s">
        <v>33</v>
      </c>
      <c r="K459" t="s">
        <v>12</v>
      </c>
    </row>
    <row r="460" spans="1:11" x14ac:dyDescent="0.25">
      <c r="A460" t="s">
        <v>535</v>
      </c>
      <c r="B460" t="s">
        <v>68</v>
      </c>
      <c r="C460" t="s">
        <v>536</v>
      </c>
      <c r="D460">
        <v>743293622</v>
      </c>
      <c r="E460" t="s">
        <v>9</v>
      </c>
      <c r="F460" s="1">
        <v>45223</v>
      </c>
      <c r="G460" t="s">
        <v>24</v>
      </c>
      <c r="H460" s="2">
        <v>209.75</v>
      </c>
      <c r="I460" t="s">
        <v>25</v>
      </c>
      <c r="J460" t="s">
        <v>33</v>
      </c>
      <c r="K460" t="s">
        <v>16</v>
      </c>
    </row>
    <row r="461" spans="1:11" x14ac:dyDescent="0.25">
      <c r="A461" t="s">
        <v>1072</v>
      </c>
      <c r="B461" t="s">
        <v>215</v>
      </c>
      <c r="C461" t="s">
        <v>1073</v>
      </c>
      <c r="D461">
        <v>729651240</v>
      </c>
      <c r="E461" t="s">
        <v>9</v>
      </c>
      <c r="F461" s="1">
        <v>45681</v>
      </c>
      <c r="G461" t="s">
        <v>460</v>
      </c>
      <c r="H461" s="2">
        <v>1913.69</v>
      </c>
      <c r="I461" t="s">
        <v>25</v>
      </c>
      <c r="J461" t="s">
        <v>11</v>
      </c>
      <c r="K461" t="s">
        <v>12</v>
      </c>
    </row>
    <row r="462" spans="1:11" x14ac:dyDescent="0.25">
      <c r="A462" t="s">
        <v>1074</v>
      </c>
      <c r="B462" t="s">
        <v>84</v>
      </c>
      <c r="C462" t="s">
        <v>1075</v>
      </c>
      <c r="D462">
        <v>677172506</v>
      </c>
      <c r="E462" t="s">
        <v>9</v>
      </c>
      <c r="F462" s="1">
        <v>45825</v>
      </c>
      <c r="G462" t="s">
        <v>14</v>
      </c>
      <c r="H462" s="2">
        <v>1661.63</v>
      </c>
      <c r="I462" t="s">
        <v>25</v>
      </c>
      <c r="J462" t="s">
        <v>22</v>
      </c>
      <c r="K462" t="s">
        <v>12</v>
      </c>
    </row>
    <row r="463" spans="1:11" x14ac:dyDescent="0.25">
      <c r="A463" t="s">
        <v>1076</v>
      </c>
      <c r="B463" t="s">
        <v>87</v>
      </c>
      <c r="C463" t="s">
        <v>1077</v>
      </c>
      <c r="D463">
        <v>996771143</v>
      </c>
      <c r="E463" t="s">
        <v>9</v>
      </c>
      <c r="F463" s="1">
        <v>45285</v>
      </c>
      <c r="G463" t="s">
        <v>14</v>
      </c>
      <c r="H463" s="2">
        <v>1058.46</v>
      </c>
      <c r="I463" t="s">
        <v>25</v>
      </c>
      <c r="J463" t="s">
        <v>36</v>
      </c>
      <c r="K463" t="s">
        <v>12</v>
      </c>
    </row>
    <row r="464" spans="1:11" x14ac:dyDescent="0.25">
      <c r="A464" t="s">
        <v>784</v>
      </c>
      <c r="B464" t="s">
        <v>240</v>
      </c>
      <c r="C464" t="s">
        <v>785</v>
      </c>
      <c r="D464">
        <v>803123797</v>
      </c>
      <c r="E464" t="s">
        <v>9</v>
      </c>
      <c r="F464" s="1">
        <v>45705</v>
      </c>
      <c r="G464" t="s">
        <v>518</v>
      </c>
      <c r="H464" s="2">
        <v>705.81</v>
      </c>
      <c r="I464" t="s">
        <v>25</v>
      </c>
      <c r="J464" t="s">
        <v>15</v>
      </c>
      <c r="K464" t="s">
        <v>12</v>
      </c>
    </row>
    <row r="465" spans="1:11" x14ac:dyDescent="0.25">
      <c r="A465" t="s">
        <v>870</v>
      </c>
      <c r="B465" t="s">
        <v>89</v>
      </c>
      <c r="C465" t="s">
        <v>871</v>
      </c>
      <c r="D465">
        <v>728307481</v>
      </c>
      <c r="E465" t="s">
        <v>9</v>
      </c>
      <c r="F465" s="1">
        <v>45597</v>
      </c>
      <c r="G465" t="s">
        <v>14</v>
      </c>
      <c r="H465" s="2">
        <v>1025.57</v>
      </c>
      <c r="I465" t="s">
        <v>25</v>
      </c>
      <c r="J465" t="s">
        <v>33</v>
      </c>
      <c r="K465" t="s">
        <v>16</v>
      </c>
    </row>
    <row r="466" spans="1:11" x14ac:dyDescent="0.25">
      <c r="A466" t="s">
        <v>818</v>
      </c>
      <c r="B466" t="s">
        <v>322</v>
      </c>
      <c r="C466" t="s">
        <v>819</v>
      </c>
      <c r="D466">
        <v>745740326</v>
      </c>
      <c r="E466" t="s">
        <v>13</v>
      </c>
      <c r="F466" s="1">
        <v>45597</v>
      </c>
      <c r="G466" t="s">
        <v>460</v>
      </c>
      <c r="H466" s="2">
        <v>626.03</v>
      </c>
      <c r="I466" t="s">
        <v>25</v>
      </c>
      <c r="J466" t="s">
        <v>22</v>
      </c>
      <c r="K466" t="s">
        <v>16</v>
      </c>
    </row>
    <row r="467" spans="1:11" x14ac:dyDescent="0.25">
      <c r="A467" t="s">
        <v>1078</v>
      </c>
      <c r="B467" t="s">
        <v>102</v>
      </c>
      <c r="C467" t="s">
        <v>1079</v>
      </c>
      <c r="D467">
        <v>624808343</v>
      </c>
      <c r="E467" t="s">
        <v>18</v>
      </c>
      <c r="F467" s="1">
        <v>45579</v>
      </c>
      <c r="G467" t="s">
        <v>35</v>
      </c>
      <c r="H467" s="2">
        <v>39.58</v>
      </c>
      <c r="I467" t="s">
        <v>25</v>
      </c>
      <c r="J467" t="s">
        <v>36</v>
      </c>
      <c r="K467" t="s">
        <v>12</v>
      </c>
    </row>
    <row r="468" spans="1:11" x14ac:dyDescent="0.25">
      <c r="A468" t="s">
        <v>947</v>
      </c>
      <c r="B468" t="s">
        <v>144</v>
      </c>
      <c r="C468" t="s">
        <v>948</v>
      </c>
      <c r="D468">
        <v>933910652</v>
      </c>
      <c r="E468" t="s">
        <v>18</v>
      </c>
      <c r="F468" s="1">
        <v>45833</v>
      </c>
      <c r="G468" t="s">
        <v>440</v>
      </c>
      <c r="H468" s="2">
        <v>1545.83</v>
      </c>
      <c r="I468" t="s">
        <v>25</v>
      </c>
      <c r="J468" t="s">
        <v>11</v>
      </c>
      <c r="K468" t="s">
        <v>16</v>
      </c>
    </row>
    <row r="469" spans="1:11" x14ac:dyDescent="0.25">
      <c r="A469" t="s">
        <v>490</v>
      </c>
      <c r="B469" t="s">
        <v>394</v>
      </c>
      <c r="C469" t="s">
        <v>491</v>
      </c>
      <c r="D469">
        <v>806812397</v>
      </c>
      <c r="E469" t="s">
        <v>18</v>
      </c>
      <c r="F469" s="1">
        <v>45526</v>
      </c>
      <c r="G469" t="s">
        <v>415</v>
      </c>
      <c r="H469" s="2">
        <v>191.39</v>
      </c>
      <c r="I469" t="s">
        <v>25</v>
      </c>
      <c r="J469" t="s">
        <v>15</v>
      </c>
      <c r="K469" t="s">
        <v>16</v>
      </c>
    </row>
    <row r="470" spans="1:11" x14ac:dyDescent="0.25">
      <c r="A470" t="s">
        <v>541</v>
      </c>
      <c r="B470" t="s">
        <v>370</v>
      </c>
      <c r="C470" t="s">
        <v>542</v>
      </c>
      <c r="D470">
        <v>705986638</v>
      </c>
      <c r="E470" t="s">
        <v>9</v>
      </c>
      <c r="F470" s="1">
        <v>45645</v>
      </c>
      <c r="G470" t="s">
        <v>47</v>
      </c>
      <c r="H470" s="2">
        <v>1609.02</v>
      </c>
      <c r="I470" t="s">
        <v>25</v>
      </c>
      <c r="J470" t="s">
        <v>22</v>
      </c>
      <c r="K470" t="s">
        <v>12</v>
      </c>
    </row>
    <row r="471" spans="1:11" x14ac:dyDescent="0.25">
      <c r="A471" t="s">
        <v>1006</v>
      </c>
      <c r="B471" t="s">
        <v>143</v>
      </c>
      <c r="C471" t="s">
        <v>1007</v>
      </c>
      <c r="D471">
        <v>892885525</v>
      </c>
      <c r="E471" t="s">
        <v>18</v>
      </c>
      <c r="F471" s="1">
        <v>45817</v>
      </c>
      <c r="G471" t="s">
        <v>47</v>
      </c>
      <c r="H471" s="2">
        <v>1549.86</v>
      </c>
      <c r="I471" t="s">
        <v>25</v>
      </c>
      <c r="J471" t="s">
        <v>33</v>
      </c>
      <c r="K471" t="s">
        <v>12</v>
      </c>
    </row>
    <row r="472" spans="1:11" x14ac:dyDescent="0.25">
      <c r="A472" t="s">
        <v>454</v>
      </c>
      <c r="B472" t="s">
        <v>262</v>
      </c>
      <c r="C472" t="s">
        <v>455</v>
      </c>
      <c r="D472">
        <v>879596240</v>
      </c>
      <c r="E472" t="s">
        <v>13</v>
      </c>
      <c r="F472" s="1">
        <v>45386</v>
      </c>
      <c r="G472" t="s">
        <v>14</v>
      </c>
      <c r="H472" s="2">
        <v>1569.77</v>
      </c>
      <c r="I472" t="s">
        <v>25</v>
      </c>
      <c r="J472" t="s">
        <v>11</v>
      </c>
      <c r="K472" t="s">
        <v>16</v>
      </c>
    </row>
    <row r="473" spans="1:11" x14ac:dyDescent="0.25">
      <c r="A473" t="s">
        <v>549</v>
      </c>
      <c r="B473" t="s">
        <v>183</v>
      </c>
      <c r="C473" t="s">
        <v>550</v>
      </c>
      <c r="D473">
        <v>948373777</v>
      </c>
      <c r="E473" t="s">
        <v>9</v>
      </c>
      <c r="F473" s="1">
        <v>45821</v>
      </c>
      <c r="G473" t="s">
        <v>506</v>
      </c>
      <c r="H473" s="2">
        <v>1530.2</v>
      </c>
      <c r="I473" t="s">
        <v>25</v>
      </c>
      <c r="J473" t="s">
        <v>22</v>
      </c>
      <c r="K473" t="s">
        <v>16</v>
      </c>
    </row>
    <row r="474" spans="1:11" x14ac:dyDescent="0.25">
      <c r="A474" t="s">
        <v>1080</v>
      </c>
      <c r="B474" t="s">
        <v>379</v>
      </c>
      <c r="C474" t="s">
        <v>1081</v>
      </c>
      <c r="D474">
        <v>615926523</v>
      </c>
      <c r="E474" t="s">
        <v>9</v>
      </c>
      <c r="F474" s="1">
        <v>45234</v>
      </c>
      <c r="G474" t="s">
        <v>478</v>
      </c>
      <c r="H474" s="2">
        <v>1201.28</v>
      </c>
      <c r="I474" t="s">
        <v>444</v>
      </c>
      <c r="J474" t="s">
        <v>36</v>
      </c>
      <c r="K474" t="s">
        <v>16</v>
      </c>
    </row>
    <row r="475" spans="1:11" x14ac:dyDescent="0.25">
      <c r="A475" t="s">
        <v>1082</v>
      </c>
      <c r="B475" t="s">
        <v>219</v>
      </c>
      <c r="C475" t="s">
        <v>1083</v>
      </c>
      <c r="D475">
        <v>737214224</v>
      </c>
      <c r="E475" t="s">
        <v>9</v>
      </c>
      <c r="F475" s="1">
        <v>45289</v>
      </c>
      <c r="G475" t="s">
        <v>29</v>
      </c>
      <c r="H475" s="2">
        <v>522.64</v>
      </c>
      <c r="I475" t="s">
        <v>25</v>
      </c>
      <c r="J475" t="s">
        <v>33</v>
      </c>
      <c r="K475" t="s">
        <v>12</v>
      </c>
    </row>
    <row r="476" spans="1:11" x14ac:dyDescent="0.25">
      <c r="A476" t="s">
        <v>1084</v>
      </c>
      <c r="B476" t="s">
        <v>306</v>
      </c>
      <c r="C476" t="s">
        <v>1085</v>
      </c>
      <c r="D476">
        <v>722110763</v>
      </c>
      <c r="E476" t="s">
        <v>13</v>
      </c>
      <c r="F476" s="1">
        <v>45749</v>
      </c>
      <c r="G476" t="s">
        <v>32</v>
      </c>
      <c r="H476" s="2">
        <v>295.24</v>
      </c>
      <c r="I476" t="s">
        <v>25</v>
      </c>
      <c r="J476" t="s">
        <v>33</v>
      </c>
      <c r="K476" t="s">
        <v>12</v>
      </c>
    </row>
    <row r="477" spans="1:11" x14ac:dyDescent="0.25">
      <c r="A477" t="s">
        <v>1086</v>
      </c>
      <c r="B477" t="s">
        <v>384</v>
      </c>
      <c r="C477" t="s">
        <v>1087</v>
      </c>
      <c r="D477">
        <v>815126663</v>
      </c>
      <c r="E477" t="s">
        <v>18</v>
      </c>
      <c r="F477" s="1">
        <v>45532</v>
      </c>
      <c r="G477" t="s">
        <v>21</v>
      </c>
      <c r="H477" s="2">
        <v>1961.12</v>
      </c>
      <c r="I477" t="s">
        <v>25</v>
      </c>
      <c r="J477" t="s">
        <v>33</v>
      </c>
      <c r="K477" t="s">
        <v>12</v>
      </c>
    </row>
    <row r="478" spans="1:11" x14ac:dyDescent="0.25">
      <c r="A478" t="s">
        <v>1088</v>
      </c>
      <c r="B478" t="s">
        <v>179</v>
      </c>
      <c r="C478" t="s">
        <v>1089</v>
      </c>
      <c r="D478">
        <v>676942883</v>
      </c>
      <c r="E478" t="s">
        <v>9</v>
      </c>
      <c r="F478" s="1">
        <v>45345</v>
      </c>
      <c r="G478" t="s">
        <v>440</v>
      </c>
      <c r="H478" s="2">
        <v>87.23</v>
      </c>
      <c r="I478" t="s">
        <v>25</v>
      </c>
      <c r="J478" t="s">
        <v>22</v>
      </c>
      <c r="K478" t="s">
        <v>12</v>
      </c>
    </row>
    <row r="479" spans="1:11" x14ac:dyDescent="0.25">
      <c r="A479" t="s">
        <v>1090</v>
      </c>
      <c r="B479" t="s">
        <v>375</v>
      </c>
      <c r="C479" t="s">
        <v>1091</v>
      </c>
      <c r="D479">
        <v>715519555</v>
      </c>
      <c r="E479" t="s">
        <v>18</v>
      </c>
      <c r="F479" s="1">
        <v>45708</v>
      </c>
      <c r="G479" t="s">
        <v>35</v>
      </c>
      <c r="H479" s="2">
        <v>52.83</v>
      </c>
      <c r="I479" t="s">
        <v>25</v>
      </c>
      <c r="J479" t="s">
        <v>33</v>
      </c>
      <c r="K479" t="s">
        <v>12</v>
      </c>
    </row>
    <row r="480" spans="1:11" x14ac:dyDescent="0.25">
      <c r="A480" t="s">
        <v>1092</v>
      </c>
      <c r="B480" t="s">
        <v>390</v>
      </c>
      <c r="C480" t="s">
        <v>1093</v>
      </c>
      <c r="D480">
        <v>713652480</v>
      </c>
      <c r="E480" t="s">
        <v>13</v>
      </c>
      <c r="F480" s="1">
        <v>45593</v>
      </c>
      <c r="G480" t="s">
        <v>478</v>
      </c>
      <c r="H480" s="2">
        <v>142.75</v>
      </c>
      <c r="I480" t="s">
        <v>25</v>
      </c>
      <c r="J480" t="s">
        <v>11</v>
      </c>
      <c r="K480" t="s">
        <v>16</v>
      </c>
    </row>
    <row r="481" spans="1:11" x14ac:dyDescent="0.25">
      <c r="A481" t="s">
        <v>982</v>
      </c>
      <c r="B481" t="s">
        <v>232</v>
      </c>
      <c r="C481" t="s">
        <v>983</v>
      </c>
      <c r="D481">
        <v>703991673</v>
      </c>
      <c r="E481" t="s">
        <v>18</v>
      </c>
      <c r="F481" s="1">
        <v>45873</v>
      </c>
      <c r="G481" t="s">
        <v>506</v>
      </c>
      <c r="H481" s="2">
        <v>1256.47</v>
      </c>
      <c r="I481" t="s">
        <v>25</v>
      </c>
      <c r="J481" t="s">
        <v>11</v>
      </c>
      <c r="K481" t="s">
        <v>12</v>
      </c>
    </row>
    <row r="482" spans="1:11" x14ac:dyDescent="0.25">
      <c r="A482" t="s">
        <v>452</v>
      </c>
      <c r="B482" t="s">
        <v>156</v>
      </c>
      <c r="C482" t="s">
        <v>453</v>
      </c>
      <c r="D482">
        <v>916052353</v>
      </c>
      <c r="E482" t="s">
        <v>13</v>
      </c>
      <c r="F482" s="1">
        <v>45674</v>
      </c>
      <c r="G482" t="s">
        <v>47</v>
      </c>
      <c r="H482" s="2">
        <v>1925.72</v>
      </c>
      <c r="I482" t="s">
        <v>507</v>
      </c>
      <c r="J482" t="s">
        <v>33</v>
      </c>
      <c r="K482" t="s">
        <v>16</v>
      </c>
    </row>
    <row r="483" spans="1:11" x14ac:dyDescent="0.25">
      <c r="A483" t="s">
        <v>1094</v>
      </c>
      <c r="B483" t="s">
        <v>367</v>
      </c>
      <c r="C483" t="s">
        <v>1095</v>
      </c>
      <c r="D483">
        <v>733967993</v>
      </c>
      <c r="E483" t="s">
        <v>18</v>
      </c>
      <c r="F483" s="1">
        <v>45210</v>
      </c>
      <c r="G483" t="s">
        <v>418</v>
      </c>
      <c r="H483" s="2">
        <v>499.43</v>
      </c>
      <c r="I483" t="s">
        <v>25</v>
      </c>
      <c r="J483" t="s">
        <v>36</v>
      </c>
      <c r="K483" t="s">
        <v>16</v>
      </c>
    </row>
    <row r="484" spans="1:11" x14ac:dyDescent="0.25">
      <c r="A484" t="s">
        <v>673</v>
      </c>
      <c r="B484" t="s">
        <v>331</v>
      </c>
      <c r="C484" t="s">
        <v>674</v>
      </c>
      <c r="D484">
        <v>708260146</v>
      </c>
      <c r="E484" t="s">
        <v>13</v>
      </c>
      <c r="F484" s="1">
        <v>45501</v>
      </c>
      <c r="G484" t="s">
        <v>10</v>
      </c>
      <c r="H484" s="2">
        <v>230.16</v>
      </c>
      <c r="I484" t="s">
        <v>25</v>
      </c>
      <c r="J484" t="s">
        <v>33</v>
      </c>
      <c r="K484" t="s">
        <v>12</v>
      </c>
    </row>
    <row r="485" spans="1:11" x14ac:dyDescent="0.25">
      <c r="A485" t="s">
        <v>735</v>
      </c>
      <c r="B485" t="s">
        <v>55</v>
      </c>
      <c r="C485" t="s">
        <v>736</v>
      </c>
      <c r="D485">
        <v>724968308</v>
      </c>
      <c r="E485" t="s">
        <v>9</v>
      </c>
      <c r="F485" s="1">
        <v>45806</v>
      </c>
      <c r="G485" t="s">
        <v>415</v>
      </c>
      <c r="H485" s="2">
        <v>1694.21</v>
      </c>
      <c r="I485" t="s">
        <v>25</v>
      </c>
      <c r="J485" t="s">
        <v>33</v>
      </c>
      <c r="K485" t="s">
        <v>16</v>
      </c>
    </row>
    <row r="486" spans="1:11" x14ac:dyDescent="0.25">
      <c r="A486" t="s">
        <v>1096</v>
      </c>
      <c r="B486" t="s">
        <v>112</v>
      </c>
      <c r="C486" t="s">
        <v>1097</v>
      </c>
      <c r="D486">
        <v>733329234</v>
      </c>
      <c r="E486" t="s">
        <v>18</v>
      </c>
      <c r="F486" s="1">
        <v>45307</v>
      </c>
      <c r="G486" t="s">
        <v>478</v>
      </c>
      <c r="H486" s="2">
        <v>624.87</v>
      </c>
      <c r="I486" t="s">
        <v>25</v>
      </c>
      <c r="J486" t="s">
        <v>33</v>
      </c>
      <c r="K486" t="s">
        <v>16</v>
      </c>
    </row>
    <row r="487" spans="1:11" x14ac:dyDescent="0.25">
      <c r="A487" t="s">
        <v>1098</v>
      </c>
      <c r="B487" t="s">
        <v>341</v>
      </c>
      <c r="C487" t="s">
        <v>1099</v>
      </c>
      <c r="D487">
        <v>722196891</v>
      </c>
      <c r="E487" t="s">
        <v>13</v>
      </c>
      <c r="F487" s="1">
        <v>45754</v>
      </c>
      <c r="G487" t="s">
        <v>475</v>
      </c>
      <c r="H487" s="2">
        <v>1804.83</v>
      </c>
      <c r="I487" t="s">
        <v>25</v>
      </c>
      <c r="J487" t="s">
        <v>26</v>
      </c>
      <c r="K487" t="s">
        <v>16</v>
      </c>
    </row>
    <row r="488" spans="1:11" x14ac:dyDescent="0.25">
      <c r="A488" t="s">
        <v>653</v>
      </c>
      <c r="B488" t="s">
        <v>654</v>
      </c>
      <c r="C488" t="s">
        <v>655</v>
      </c>
      <c r="D488">
        <v>719370887</v>
      </c>
      <c r="E488" t="s">
        <v>18</v>
      </c>
      <c r="F488" s="1">
        <v>45874</v>
      </c>
      <c r="G488" t="s">
        <v>475</v>
      </c>
      <c r="H488" s="2">
        <v>514.69000000000005</v>
      </c>
      <c r="I488" t="s">
        <v>25</v>
      </c>
      <c r="J488" t="s">
        <v>11</v>
      </c>
      <c r="K488" t="s">
        <v>12</v>
      </c>
    </row>
    <row r="489" spans="1:11" x14ac:dyDescent="0.25">
      <c r="A489" t="s">
        <v>641</v>
      </c>
      <c r="B489" t="s">
        <v>109</v>
      </c>
      <c r="C489" t="s">
        <v>642</v>
      </c>
      <c r="D489">
        <v>725175634</v>
      </c>
      <c r="E489" t="s">
        <v>9</v>
      </c>
      <c r="F489" s="1">
        <v>45277</v>
      </c>
      <c r="G489" t="s">
        <v>418</v>
      </c>
      <c r="H489" s="2">
        <v>617.47</v>
      </c>
      <c r="I489" t="s">
        <v>25</v>
      </c>
      <c r="J489" t="s">
        <v>22</v>
      </c>
      <c r="K489" t="s">
        <v>12</v>
      </c>
    </row>
    <row r="490" spans="1:11" x14ac:dyDescent="0.25">
      <c r="A490" t="s">
        <v>653</v>
      </c>
      <c r="B490" t="s">
        <v>654</v>
      </c>
      <c r="C490" t="s">
        <v>655</v>
      </c>
      <c r="D490">
        <v>719370887</v>
      </c>
      <c r="E490" t="s">
        <v>18</v>
      </c>
      <c r="F490" s="1">
        <v>45627</v>
      </c>
      <c r="G490" t="s">
        <v>475</v>
      </c>
      <c r="H490" s="2">
        <v>1944.58</v>
      </c>
      <c r="I490" t="s">
        <v>25</v>
      </c>
      <c r="J490" t="s">
        <v>36</v>
      </c>
      <c r="K490" t="s">
        <v>16</v>
      </c>
    </row>
    <row r="491" spans="1:11" x14ac:dyDescent="0.25">
      <c r="A491" t="s">
        <v>980</v>
      </c>
      <c r="B491" t="s">
        <v>101</v>
      </c>
      <c r="C491" t="s">
        <v>981</v>
      </c>
      <c r="D491">
        <v>724525701</v>
      </c>
      <c r="E491" t="s">
        <v>9</v>
      </c>
      <c r="F491" s="1">
        <v>45498</v>
      </c>
      <c r="G491" t="s">
        <v>39</v>
      </c>
      <c r="H491" s="2">
        <v>1408.43</v>
      </c>
      <c r="I491" t="s">
        <v>25</v>
      </c>
      <c r="J491" t="s">
        <v>33</v>
      </c>
      <c r="K491" t="s">
        <v>16</v>
      </c>
    </row>
    <row r="492" spans="1:11" x14ac:dyDescent="0.25">
      <c r="A492" t="s">
        <v>1100</v>
      </c>
      <c r="B492" t="s">
        <v>234</v>
      </c>
      <c r="C492" t="s">
        <v>1101</v>
      </c>
      <c r="D492">
        <v>741532244</v>
      </c>
      <c r="E492" t="s">
        <v>9</v>
      </c>
      <c r="F492" s="1">
        <v>45514</v>
      </c>
      <c r="G492" t="s">
        <v>415</v>
      </c>
      <c r="H492" s="2">
        <v>1762.77</v>
      </c>
      <c r="I492" t="s">
        <v>25</v>
      </c>
      <c r="J492" t="s">
        <v>33</v>
      </c>
      <c r="K492" t="s">
        <v>16</v>
      </c>
    </row>
    <row r="493" spans="1:11" x14ac:dyDescent="0.25">
      <c r="A493" t="s">
        <v>637</v>
      </c>
      <c r="B493" t="s">
        <v>176</v>
      </c>
      <c r="C493" t="s">
        <v>638</v>
      </c>
      <c r="D493">
        <v>721361791</v>
      </c>
      <c r="E493" t="s">
        <v>9</v>
      </c>
      <c r="F493" s="1">
        <v>45665</v>
      </c>
      <c r="G493" t="s">
        <v>440</v>
      </c>
      <c r="H493" s="2">
        <v>143.83000000000001</v>
      </c>
      <c r="I493" t="s">
        <v>444</v>
      </c>
      <c r="J493" t="s">
        <v>33</v>
      </c>
      <c r="K493" t="s">
        <v>12</v>
      </c>
    </row>
    <row r="494" spans="1:11" x14ac:dyDescent="0.25">
      <c r="A494" t="s">
        <v>739</v>
      </c>
      <c r="B494" t="s">
        <v>147</v>
      </c>
      <c r="C494" t="s">
        <v>740</v>
      </c>
      <c r="D494">
        <v>732688394</v>
      </c>
      <c r="E494" t="s">
        <v>9</v>
      </c>
      <c r="F494" s="1">
        <v>45381</v>
      </c>
      <c r="G494" t="s">
        <v>10</v>
      </c>
      <c r="H494" s="2">
        <v>827.18</v>
      </c>
      <c r="I494" t="s">
        <v>25</v>
      </c>
      <c r="J494" t="s">
        <v>22</v>
      </c>
      <c r="K494" t="s">
        <v>12</v>
      </c>
    </row>
    <row r="495" spans="1:11" x14ac:dyDescent="0.25">
      <c r="A495" t="s">
        <v>687</v>
      </c>
      <c r="B495" t="s">
        <v>398</v>
      </c>
      <c r="C495" t="s">
        <v>688</v>
      </c>
      <c r="D495">
        <v>712704910</v>
      </c>
      <c r="E495" t="s">
        <v>9</v>
      </c>
      <c r="F495" s="1">
        <v>45412</v>
      </c>
      <c r="G495" t="s">
        <v>460</v>
      </c>
      <c r="H495" s="2">
        <v>221.12</v>
      </c>
      <c r="I495" t="s">
        <v>25</v>
      </c>
      <c r="J495" t="s">
        <v>22</v>
      </c>
      <c r="K495" t="s">
        <v>12</v>
      </c>
    </row>
    <row r="496" spans="1:11" x14ac:dyDescent="0.25">
      <c r="A496" t="s">
        <v>573</v>
      </c>
      <c r="B496" t="s">
        <v>42</v>
      </c>
      <c r="C496" t="s">
        <v>574</v>
      </c>
      <c r="D496">
        <v>737130420</v>
      </c>
      <c r="E496" t="s">
        <v>9</v>
      </c>
      <c r="F496" s="1">
        <v>45735</v>
      </c>
      <c r="G496" t="s">
        <v>32</v>
      </c>
      <c r="H496" s="2">
        <v>17.87</v>
      </c>
      <c r="I496" t="s">
        <v>25</v>
      </c>
      <c r="J496" t="s">
        <v>22</v>
      </c>
      <c r="K496" t="s">
        <v>16</v>
      </c>
    </row>
    <row r="497" spans="1:11" x14ac:dyDescent="0.25">
      <c r="A497" t="s">
        <v>508</v>
      </c>
      <c r="B497" t="s">
        <v>203</v>
      </c>
      <c r="C497" t="s">
        <v>509</v>
      </c>
      <c r="D497">
        <v>628214825</v>
      </c>
      <c r="E497" t="s">
        <v>9</v>
      </c>
      <c r="F497" s="1">
        <v>45585</v>
      </c>
      <c r="G497" t="s">
        <v>10</v>
      </c>
      <c r="H497" s="2">
        <v>491.67</v>
      </c>
      <c r="I497" t="s">
        <v>25</v>
      </c>
      <c r="J497" t="s">
        <v>22</v>
      </c>
      <c r="K497" t="s">
        <v>12</v>
      </c>
    </row>
    <row r="498" spans="1:11" x14ac:dyDescent="0.25">
      <c r="A498" t="s">
        <v>471</v>
      </c>
      <c r="B498" t="s">
        <v>311</v>
      </c>
      <c r="C498" t="s">
        <v>472</v>
      </c>
      <c r="D498">
        <v>892859188</v>
      </c>
      <c r="E498" t="s">
        <v>9</v>
      </c>
      <c r="F498" s="1">
        <v>45664</v>
      </c>
      <c r="G498" t="s">
        <v>32</v>
      </c>
      <c r="H498" s="2">
        <v>466.33</v>
      </c>
      <c r="I498" t="s">
        <v>25</v>
      </c>
      <c r="J498" t="s">
        <v>11</v>
      </c>
      <c r="K498" t="s">
        <v>12</v>
      </c>
    </row>
    <row r="499" spans="1:11" x14ac:dyDescent="0.25">
      <c r="A499" t="s">
        <v>1042</v>
      </c>
      <c r="B499" t="s">
        <v>1043</v>
      </c>
      <c r="C499" t="s">
        <v>1044</v>
      </c>
      <c r="D499">
        <v>917893213</v>
      </c>
      <c r="E499" t="s">
        <v>18</v>
      </c>
      <c r="F499" s="1">
        <v>45281</v>
      </c>
      <c r="G499" t="s">
        <v>440</v>
      </c>
      <c r="H499" s="2">
        <v>448.65</v>
      </c>
      <c r="I499" t="s">
        <v>507</v>
      </c>
      <c r="J499" t="s">
        <v>36</v>
      </c>
      <c r="K499" t="s">
        <v>16</v>
      </c>
    </row>
    <row r="500" spans="1:11" x14ac:dyDescent="0.25">
      <c r="A500" t="s">
        <v>879</v>
      </c>
      <c r="B500" t="s">
        <v>358</v>
      </c>
      <c r="C500" t="s">
        <v>880</v>
      </c>
      <c r="D500">
        <v>690754330</v>
      </c>
      <c r="E500" t="s">
        <v>9</v>
      </c>
      <c r="F500" s="1">
        <v>45660</v>
      </c>
      <c r="G500" t="s">
        <v>423</v>
      </c>
      <c r="H500" s="2">
        <v>770.17</v>
      </c>
      <c r="I500" t="s">
        <v>25</v>
      </c>
      <c r="J500" t="s">
        <v>22</v>
      </c>
      <c r="K500" t="s">
        <v>16</v>
      </c>
    </row>
    <row r="501" spans="1:11" x14ac:dyDescent="0.25">
      <c r="A501" t="s">
        <v>1102</v>
      </c>
      <c r="B501" t="s">
        <v>23</v>
      </c>
      <c r="C501" t="s">
        <v>1103</v>
      </c>
      <c r="D501">
        <v>730150105</v>
      </c>
      <c r="E501" t="s">
        <v>9</v>
      </c>
      <c r="F501" s="1">
        <v>45464</v>
      </c>
      <c r="G501" t="s">
        <v>506</v>
      </c>
      <c r="H501" s="2">
        <v>220.15</v>
      </c>
      <c r="I501" t="s">
        <v>25</v>
      </c>
      <c r="J501" t="s">
        <v>22</v>
      </c>
      <c r="K501" t="s">
        <v>16</v>
      </c>
    </row>
    <row r="502" spans="1:11" x14ac:dyDescent="0.25">
      <c r="A502" t="s">
        <v>715</v>
      </c>
      <c r="B502" t="s">
        <v>202</v>
      </c>
      <c r="C502" t="s">
        <v>716</v>
      </c>
      <c r="D502">
        <v>652976786</v>
      </c>
      <c r="E502" t="s">
        <v>18</v>
      </c>
      <c r="F502" s="1">
        <v>45311</v>
      </c>
      <c r="G502" t="s">
        <v>443</v>
      </c>
      <c r="H502" s="2">
        <v>1594.48</v>
      </c>
      <c r="I502" t="s">
        <v>444</v>
      </c>
      <c r="J502" t="s">
        <v>26</v>
      </c>
      <c r="K502" t="s">
        <v>16</v>
      </c>
    </row>
    <row r="503" spans="1:11" x14ac:dyDescent="0.25">
      <c r="A503" t="s">
        <v>1098</v>
      </c>
      <c r="B503" t="s">
        <v>341</v>
      </c>
      <c r="C503" t="s">
        <v>1099</v>
      </c>
      <c r="D503">
        <v>722196891</v>
      </c>
      <c r="E503" t="s">
        <v>13</v>
      </c>
      <c r="F503" s="1">
        <v>45595</v>
      </c>
      <c r="G503" t="s">
        <v>475</v>
      </c>
      <c r="H503" s="2">
        <v>1024.05</v>
      </c>
      <c r="I503" t="s">
        <v>25</v>
      </c>
      <c r="J503" t="s">
        <v>11</v>
      </c>
      <c r="K503" t="s">
        <v>12</v>
      </c>
    </row>
    <row r="504" spans="1:11" x14ac:dyDescent="0.25">
      <c r="A504" t="s">
        <v>1104</v>
      </c>
      <c r="B504" t="s">
        <v>150</v>
      </c>
      <c r="C504" t="s">
        <v>1105</v>
      </c>
      <c r="D504">
        <v>731165363</v>
      </c>
      <c r="E504" t="s">
        <v>18</v>
      </c>
      <c r="F504" s="1">
        <v>45214</v>
      </c>
      <c r="G504" t="s">
        <v>21</v>
      </c>
      <c r="H504" s="2">
        <v>1652.99</v>
      </c>
      <c r="I504" t="s">
        <v>25</v>
      </c>
      <c r="J504" t="s">
        <v>11</v>
      </c>
      <c r="K504" t="s">
        <v>12</v>
      </c>
    </row>
    <row r="505" spans="1:11" x14ac:dyDescent="0.25">
      <c r="A505" t="s">
        <v>1106</v>
      </c>
      <c r="B505" t="s">
        <v>144</v>
      </c>
      <c r="C505" t="s">
        <v>1107</v>
      </c>
      <c r="D505">
        <v>720043779</v>
      </c>
      <c r="E505" t="s">
        <v>9</v>
      </c>
      <c r="F505" s="1">
        <v>45663</v>
      </c>
      <c r="G505" t="s">
        <v>451</v>
      </c>
      <c r="H505" s="2">
        <v>139.38999999999999</v>
      </c>
      <c r="I505" t="s">
        <v>25</v>
      </c>
      <c r="J505" t="s">
        <v>36</v>
      </c>
      <c r="K505" t="s">
        <v>16</v>
      </c>
    </row>
    <row r="506" spans="1:11" x14ac:dyDescent="0.25">
      <c r="A506" t="s">
        <v>847</v>
      </c>
      <c r="B506" t="s">
        <v>256</v>
      </c>
      <c r="C506" t="s">
        <v>848</v>
      </c>
      <c r="D506">
        <v>733233840</v>
      </c>
      <c r="E506" t="s">
        <v>9</v>
      </c>
      <c r="F506" s="1">
        <v>45745</v>
      </c>
      <c r="G506" t="s">
        <v>475</v>
      </c>
      <c r="H506" s="2">
        <v>1249.8</v>
      </c>
      <c r="I506" t="s">
        <v>25</v>
      </c>
      <c r="J506" t="s">
        <v>33</v>
      </c>
      <c r="K506" t="s">
        <v>16</v>
      </c>
    </row>
    <row r="507" spans="1:11" x14ac:dyDescent="0.25">
      <c r="A507" t="s">
        <v>1108</v>
      </c>
      <c r="B507" t="s">
        <v>224</v>
      </c>
      <c r="C507" t="s">
        <v>1109</v>
      </c>
      <c r="D507">
        <v>694844051</v>
      </c>
      <c r="E507" t="s">
        <v>9</v>
      </c>
      <c r="F507" s="1">
        <v>45751</v>
      </c>
      <c r="G507" t="s">
        <v>21</v>
      </c>
      <c r="H507" s="2">
        <v>57.42</v>
      </c>
      <c r="I507" t="s">
        <v>25</v>
      </c>
      <c r="J507" t="s">
        <v>33</v>
      </c>
      <c r="K507" t="s">
        <v>16</v>
      </c>
    </row>
    <row r="508" spans="1:11" x14ac:dyDescent="0.25">
      <c r="A508" t="s">
        <v>647</v>
      </c>
      <c r="B508" t="s">
        <v>225</v>
      </c>
      <c r="C508" t="s">
        <v>648</v>
      </c>
      <c r="D508">
        <v>979540496</v>
      </c>
      <c r="E508" t="s">
        <v>9</v>
      </c>
      <c r="F508" s="1">
        <v>45858</v>
      </c>
      <c r="G508" t="s">
        <v>423</v>
      </c>
      <c r="H508" s="2">
        <v>1924.96</v>
      </c>
      <c r="I508" t="s">
        <v>25</v>
      </c>
      <c r="J508" t="s">
        <v>26</v>
      </c>
      <c r="K508" t="s">
        <v>16</v>
      </c>
    </row>
    <row r="509" spans="1:11" x14ac:dyDescent="0.25">
      <c r="A509" t="s">
        <v>658</v>
      </c>
      <c r="B509" t="s">
        <v>222</v>
      </c>
      <c r="C509" t="s">
        <v>659</v>
      </c>
      <c r="D509">
        <v>682341936</v>
      </c>
      <c r="E509" t="s">
        <v>9</v>
      </c>
      <c r="F509" s="1">
        <v>45182</v>
      </c>
      <c r="G509" t="s">
        <v>415</v>
      </c>
      <c r="H509" s="2">
        <v>29.89</v>
      </c>
      <c r="I509" t="s">
        <v>25</v>
      </c>
      <c r="J509" t="s">
        <v>22</v>
      </c>
      <c r="K509" t="s">
        <v>16</v>
      </c>
    </row>
    <row r="510" spans="1:11" x14ac:dyDescent="0.25">
      <c r="A510" t="s">
        <v>964</v>
      </c>
      <c r="B510" t="s">
        <v>265</v>
      </c>
      <c r="C510" t="s">
        <v>965</v>
      </c>
      <c r="D510">
        <v>733394756</v>
      </c>
      <c r="E510" t="s">
        <v>18</v>
      </c>
      <c r="F510" s="1">
        <v>45760</v>
      </c>
      <c r="G510" t="s">
        <v>24</v>
      </c>
      <c r="H510" s="2">
        <v>530.54999999999995</v>
      </c>
      <c r="I510" t="s">
        <v>25</v>
      </c>
      <c r="J510" t="s">
        <v>11</v>
      </c>
      <c r="K510" t="s">
        <v>12</v>
      </c>
    </row>
    <row r="511" spans="1:11" x14ac:dyDescent="0.25">
      <c r="A511" t="s">
        <v>1110</v>
      </c>
      <c r="B511" t="s">
        <v>166</v>
      </c>
      <c r="C511" t="s">
        <v>1111</v>
      </c>
      <c r="D511">
        <v>723768512</v>
      </c>
      <c r="E511" t="s">
        <v>9</v>
      </c>
      <c r="F511" s="1">
        <v>45270</v>
      </c>
      <c r="G511" t="s">
        <v>32</v>
      </c>
      <c r="H511" s="2">
        <v>1519.67</v>
      </c>
      <c r="I511" t="s">
        <v>25</v>
      </c>
      <c r="J511" t="s">
        <v>22</v>
      </c>
      <c r="K511" t="s">
        <v>16</v>
      </c>
    </row>
    <row r="512" spans="1:11" x14ac:dyDescent="0.25">
      <c r="A512" t="s">
        <v>1112</v>
      </c>
      <c r="B512" t="s">
        <v>1113</v>
      </c>
      <c r="C512" t="s">
        <v>1114</v>
      </c>
      <c r="D512">
        <v>636255184</v>
      </c>
      <c r="E512" t="s">
        <v>9</v>
      </c>
      <c r="F512" s="1">
        <v>45508</v>
      </c>
      <c r="G512" t="s">
        <v>415</v>
      </c>
      <c r="H512" s="2">
        <v>785.2</v>
      </c>
      <c r="I512" t="s">
        <v>444</v>
      </c>
      <c r="J512" t="s">
        <v>22</v>
      </c>
      <c r="K512" t="s">
        <v>16</v>
      </c>
    </row>
    <row r="513" spans="1:11" x14ac:dyDescent="0.25">
      <c r="A513" t="s">
        <v>1115</v>
      </c>
      <c r="B513" t="s">
        <v>140</v>
      </c>
      <c r="C513" t="s">
        <v>1116</v>
      </c>
      <c r="D513">
        <v>827325070</v>
      </c>
      <c r="E513" t="s">
        <v>9</v>
      </c>
      <c r="F513" s="1">
        <v>45553</v>
      </c>
      <c r="G513" t="s">
        <v>10</v>
      </c>
      <c r="H513" s="2">
        <v>1327.28</v>
      </c>
      <c r="I513" t="s">
        <v>25</v>
      </c>
      <c r="J513" t="s">
        <v>22</v>
      </c>
      <c r="K513" t="s">
        <v>12</v>
      </c>
    </row>
    <row r="514" spans="1:11" x14ac:dyDescent="0.25">
      <c r="A514" t="s">
        <v>458</v>
      </c>
      <c r="B514" t="s">
        <v>377</v>
      </c>
      <c r="C514" t="s">
        <v>459</v>
      </c>
      <c r="D514">
        <v>747259283</v>
      </c>
      <c r="E514" t="s">
        <v>9</v>
      </c>
      <c r="F514" s="1">
        <v>45206</v>
      </c>
      <c r="G514" t="s">
        <v>460</v>
      </c>
      <c r="H514" s="2">
        <v>533.09</v>
      </c>
      <c r="I514" t="s">
        <v>25</v>
      </c>
      <c r="J514" t="s">
        <v>11</v>
      </c>
      <c r="K514" t="s">
        <v>16</v>
      </c>
    </row>
    <row r="515" spans="1:11" x14ac:dyDescent="0.25">
      <c r="A515" t="s">
        <v>699</v>
      </c>
      <c r="B515" t="s">
        <v>167</v>
      </c>
      <c r="C515" t="s">
        <v>700</v>
      </c>
      <c r="D515">
        <v>734216317</v>
      </c>
      <c r="E515" t="s">
        <v>9</v>
      </c>
      <c r="F515" s="1">
        <v>45260</v>
      </c>
      <c r="G515" t="s">
        <v>475</v>
      </c>
      <c r="H515" s="2">
        <v>946.99</v>
      </c>
      <c r="I515" t="s">
        <v>444</v>
      </c>
      <c r="J515" t="s">
        <v>22</v>
      </c>
      <c r="K515" t="s">
        <v>16</v>
      </c>
    </row>
    <row r="516" spans="1:11" x14ac:dyDescent="0.25">
      <c r="A516" t="s">
        <v>557</v>
      </c>
      <c r="B516" t="s">
        <v>558</v>
      </c>
      <c r="C516" t="s">
        <v>559</v>
      </c>
      <c r="D516">
        <v>719919620</v>
      </c>
      <c r="E516" t="s">
        <v>9</v>
      </c>
      <c r="F516" s="1">
        <v>45831</v>
      </c>
      <c r="G516" t="s">
        <v>478</v>
      </c>
      <c r="H516" s="2">
        <v>664.66</v>
      </c>
      <c r="I516" t="s">
        <v>25</v>
      </c>
      <c r="J516" t="s">
        <v>36</v>
      </c>
      <c r="K516" t="s">
        <v>16</v>
      </c>
    </row>
    <row r="517" spans="1:11" x14ac:dyDescent="0.25">
      <c r="A517" t="s">
        <v>1117</v>
      </c>
      <c r="B517" t="s">
        <v>159</v>
      </c>
      <c r="C517" t="s">
        <v>1118</v>
      </c>
      <c r="D517">
        <v>847920353</v>
      </c>
      <c r="E517" t="s">
        <v>9</v>
      </c>
      <c r="F517" s="1">
        <v>45619</v>
      </c>
      <c r="G517" t="s">
        <v>47</v>
      </c>
      <c r="H517" s="2">
        <v>422.7</v>
      </c>
      <c r="I517" t="s">
        <v>25</v>
      </c>
      <c r="J517" t="s">
        <v>11</v>
      </c>
      <c r="K517" t="s">
        <v>12</v>
      </c>
    </row>
    <row r="518" spans="1:11" x14ac:dyDescent="0.25">
      <c r="A518" t="s">
        <v>1119</v>
      </c>
      <c r="B518" t="s">
        <v>403</v>
      </c>
      <c r="C518" t="s">
        <v>1120</v>
      </c>
      <c r="D518">
        <v>747173529</v>
      </c>
      <c r="E518" t="s">
        <v>18</v>
      </c>
      <c r="F518" s="1">
        <v>45665</v>
      </c>
      <c r="G518" t="s">
        <v>19</v>
      </c>
      <c r="H518" s="2">
        <v>136.82</v>
      </c>
      <c r="I518" t="s">
        <v>25</v>
      </c>
      <c r="J518" t="s">
        <v>11</v>
      </c>
      <c r="K518" t="s">
        <v>12</v>
      </c>
    </row>
    <row r="519" spans="1:11" x14ac:dyDescent="0.25">
      <c r="A519" t="s">
        <v>1121</v>
      </c>
      <c r="B519" t="s">
        <v>318</v>
      </c>
      <c r="C519" t="s">
        <v>1122</v>
      </c>
      <c r="D519">
        <v>733718157</v>
      </c>
      <c r="E519" t="s">
        <v>18</v>
      </c>
      <c r="F519" s="1">
        <v>45239</v>
      </c>
      <c r="G519" t="s">
        <v>19</v>
      </c>
      <c r="H519" s="2">
        <v>1853.9</v>
      </c>
      <c r="I519" t="s">
        <v>25</v>
      </c>
      <c r="J519" t="s">
        <v>33</v>
      </c>
      <c r="K519" t="s">
        <v>16</v>
      </c>
    </row>
    <row r="520" spans="1:11" x14ac:dyDescent="0.25">
      <c r="A520" t="s">
        <v>1123</v>
      </c>
      <c r="B520" t="s">
        <v>360</v>
      </c>
      <c r="C520" t="s">
        <v>1124</v>
      </c>
      <c r="D520">
        <v>919039985</v>
      </c>
      <c r="E520" t="s">
        <v>18</v>
      </c>
      <c r="F520" s="1">
        <v>45842</v>
      </c>
      <c r="G520" t="s">
        <v>518</v>
      </c>
      <c r="H520" s="2">
        <v>120.86</v>
      </c>
      <c r="I520" t="s">
        <v>25</v>
      </c>
      <c r="J520" t="s">
        <v>11</v>
      </c>
      <c r="K520" t="s">
        <v>12</v>
      </c>
    </row>
    <row r="521" spans="1:11" x14ac:dyDescent="0.25">
      <c r="A521" t="s">
        <v>1125</v>
      </c>
      <c r="B521" t="s">
        <v>400</v>
      </c>
      <c r="C521" t="s">
        <v>1126</v>
      </c>
      <c r="D521">
        <v>747242391</v>
      </c>
      <c r="E521" t="s">
        <v>9</v>
      </c>
      <c r="F521" s="1">
        <v>45310</v>
      </c>
      <c r="G521" t="s">
        <v>478</v>
      </c>
      <c r="H521" s="2">
        <v>512.5</v>
      </c>
      <c r="I521" t="s">
        <v>25</v>
      </c>
      <c r="J521" t="s">
        <v>33</v>
      </c>
      <c r="K521" t="s">
        <v>16</v>
      </c>
    </row>
    <row r="522" spans="1:11" x14ac:dyDescent="0.25">
      <c r="A522" t="s">
        <v>456</v>
      </c>
      <c r="B522" t="s">
        <v>206</v>
      </c>
      <c r="C522" t="s">
        <v>457</v>
      </c>
      <c r="D522">
        <v>719563621</v>
      </c>
      <c r="E522" t="s">
        <v>18</v>
      </c>
      <c r="F522" s="1">
        <v>45725</v>
      </c>
      <c r="G522" t="s">
        <v>35</v>
      </c>
      <c r="H522" s="2">
        <v>1687.63</v>
      </c>
      <c r="I522" t="s">
        <v>25</v>
      </c>
      <c r="J522" t="s">
        <v>11</v>
      </c>
      <c r="K522" t="s">
        <v>16</v>
      </c>
    </row>
    <row r="523" spans="1:11" x14ac:dyDescent="0.25">
      <c r="A523" t="s">
        <v>428</v>
      </c>
      <c r="B523" t="s">
        <v>64</v>
      </c>
      <c r="C523" t="s">
        <v>429</v>
      </c>
      <c r="D523">
        <v>681249637</v>
      </c>
      <c r="E523" t="s">
        <v>13</v>
      </c>
      <c r="F523" s="1">
        <v>45551</v>
      </c>
      <c r="G523" t="s">
        <v>418</v>
      </c>
      <c r="H523" s="2">
        <v>1935.7</v>
      </c>
      <c r="I523" t="s">
        <v>25</v>
      </c>
      <c r="J523" t="s">
        <v>33</v>
      </c>
      <c r="K523" t="s">
        <v>16</v>
      </c>
    </row>
    <row r="524" spans="1:11" x14ac:dyDescent="0.25">
      <c r="A524" t="s">
        <v>729</v>
      </c>
      <c r="B524" t="s">
        <v>119</v>
      </c>
      <c r="C524" t="s">
        <v>730</v>
      </c>
      <c r="D524">
        <v>745350274</v>
      </c>
      <c r="E524" t="s">
        <v>18</v>
      </c>
      <c r="F524" s="1">
        <v>45218</v>
      </c>
      <c r="G524" t="s">
        <v>47</v>
      </c>
      <c r="H524" s="2">
        <v>513.61</v>
      </c>
      <c r="I524" t="s">
        <v>507</v>
      </c>
      <c r="J524" t="s">
        <v>11</v>
      </c>
      <c r="K524" t="s">
        <v>16</v>
      </c>
    </row>
    <row r="525" spans="1:11" x14ac:dyDescent="0.25">
      <c r="A525" t="s">
        <v>484</v>
      </c>
      <c r="B525" t="s">
        <v>111</v>
      </c>
      <c r="C525" t="s">
        <v>485</v>
      </c>
      <c r="D525">
        <v>826663368</v>
      </c>
      <c r="E525" t="s">
        <v>18</v>
      </c>
      <c r="F525" s="1">
        <v>45597</v>
      </c>
      <c r="G525" t="s">
        <v>415</v>
      </c>
      <c r="H525" s="2">
        <v>65.03</v>
      </c>
      <c r="I525" t="s">
        <v>25</v>
      </c>
      <c r="J525" t="s">
        <v>33</v>
      </c>
      <c r="K525" t="s">
        <v>12</v>
      </c>
    </row>
    <row r="526" spans="1:11" x14ac:dyDescent="0.25">
      <c r="A526" t="s">
        <v>1127</v>
      </c>
      <c r="B526" t="s">
        <v>394</v>
      </c>
      <c r="C526" t="s">
        <v>1128</v>
      </c>
      <c r="D526">
        <v>923537231</v>
      </c>
      <c r="E526" t="s">
        <v>9</v>
      </c>
      <c r="F526" s="1">
        <v>45572</v>
      </c>
      <c r="G526" t="s">
        <v>24</v>
      </c>
      <c r="H526" s="2">
        <v>1083.93</v>
      </c>
      <c r="I526" t="s">
        <v>444</v>
      </c>
      <c r="J526" t="s">
        <v>22</v>
      </c>
      <c r="K526" t="s">
        <v>12</v>
      </c>
    </row>
    <row r="527" spans="1:11" x14ac:dyDescent="0.25">
      <c r="A527" t="s">
        <v>804</v>
      </c>
      <c r="B527" t="s">
        <v>45</v>
      </c>
      <c r="C527" t="s">
        <v>805</v>
      </c>
      <c r="D527">
        <v>716908291</v>
      </c>
      <c r="E527" t="s">
        <v>9</v>
      </c>
      <c r="F527" s="1">
        <v>45237</v>
      </c>
      <c r="G527" t="s">
        <v>451</v>
      </c>
      <c r="H527" s="2">
        <v>387.8</v>
      </c>
      <c r="I527" t="s">
        <v>25</v>
      </c>
      <c r="J527" t="s">
        <v>22</v>
      </c>
      <c r="K527" t="s">
        <v>16</v>
      </c>
    </row>
    <row r="528" spans="1:11" x14ac:dyDescent="0.25">
      <c r="A528" t="s">
        <v>1129</v>
      </c>
      <c r="B528" t="s">
        <v>124</v>
      </c>
      <c r="C528" t="s">
        <v>1130</v>
      </c>
      <c r="D528">
        <v>938659334</v>
      </c>
      <c r="E528" t="s">
        <v>9</v>
      </c>
      <c r="F528" s="1">
        <v>45896</v>
      </c>
      <c r="G528" t="s">
        <v>47</v>
      </c>
      <c r="H528" s="2">
        <v>1578.15</v>
      </c>
      <c r="I528" t="s">
        <v>25</v>
      </c>
      <c r="J528" t="s">
        <v>22</v>
      </c>
      <c r="K528" t="s">
        <v>12</v>
      </c>
    </row>
    <row r="529" spans="1:11" x14ac:dyDescent="0.25">
      <c r="A529" t="s">
        <v>1131</v>
      </c>
      <c r="B529" t="s">
        <v>106</v>
      </c>
      <c r="C529" t="s">
        <v>1132</v>
      </c>
      <c r="D529">
        <v>826025409</v>
      </c>
      <c r="E529" t="s">
        <v>13</v>
      </c>
      <c r="F529" s="1">
        <v>45298</v>
      </c>
      <c r="G529" t="s">
        <v>451</v>
      </c>
      <c r="H529" s="2">
        <v>1149.55</v>
      </c>
      <c r="I529" t="s">
        <v>444</v>
      </c>
      <c r="J529" t="s">
        <v>33</v>
      </c>
      <c r="K529" t="s">
        <v>12</v>
      </c>
    </row>
    <row r="530" spans="1:11" x14ac:dyDescent="0.25">
      <c r="A530" t="s">
        <v>586</v>
      </c>
      <c r="B530" t="s">
        <v>587</v>
      </c>
      <c r="C530" t="s">
        <v>588</v>
      </c>
      <c r="D530">
        <v>954106570</v>
      </c>
      <c r="E530" t="s">
        <v>9</v>
      </c>
      <c r="F530" s="1">
        <v>45197</v>
      </c>
      <c r="G530" t="s">
        <v>47</v>
      </c>
      <c r="H530" s="2">
        <v>33.1</v>
      </c>
      <c r="I530" t="s">
        <v>25</v>
      </c>
      <c r="J530" t="s">
        <v>22</v>
      </c>
      <c r="K530" t="s">
        <v>16</v>
      </c>
    </row>
    <row r="531" spans="1:11" x14ac:dyDescent="0.25">
      <c r="A531" t="s">
        <v>1133</v>
      </c>
      <c r="B531" t="s">
        <v>402</v>
      </c>
      <c r="C531" t="s">
        <v>1134</v>
      </c>
      <c r="D531">
        <v>733644671</v>
      </c>
      <c r="E531" t="s">
        <v>18</v>
      </c>
      <c r="F531" s="1">
        <v>45628</v>
      </c>
      <c r="G531" t="s">
        <v>443</v>
      </c>
      <c r="H531" s="2">
        <v>147.41999999999999</v>
      </c>
      <c r="I531" t="s">
        <v>25</v>
      </c>
      <c r="J531" t="s">
        <v>11</v>
      </c>
      <c r="K531" t="s">
        <v>12</v>
      </c>
    </row>
    <row r="532" spans="1:11" x14ac:dyDescent="0.25">
      <c r="A532" t="s">
        <v>851</v>
      </c>
      <c r="B532" t="s">
        <v>127</v>
      </c>
      <c r="C532" t="s">
        <v>852</v>
      </c>
      <c r="D532">
        <v>732119992</v>
      </c>
      <c r="E532" t="s">
        <v>9</v>
      </c>
      <c r="F532" s="1">
        <v>45740</v>
      </c>
      <c r="G532" t="s">
        <v>423</v>
      </c>
      <c r="H532" s="2">
        <v>1483.83</v>
      </c>
      <c r="I532" t="s">
        <v>25</v>
      </c>
      <c r="J532" t="s">
        <v>22</v>
      </c>
      <c r="K532" t="s">
        <v>12</v>
      </c>
    </row>
    <row r="533" spans="1:11" x14ac:dyDescent="0.25">
      <c r="A533" t="s">
        <v>847</v>
      </c>
      <c r="B533" t="s">
        <v>256</v>
      </c>
      <c r="C533" t="s">
        <v>848</v>
      </c>
      <c r="D533">
        <v>733233840</v>
      </c>
      <c r="E533" t="s">
        <v>9</v>
      </c>
      <c r="F533" s="1">
        <v>45315</v>
      </c>
      <c r="G533" t="s">
        <v>475</v>
      </c>
      <c r="H533" s="2">
        <v>107.67</v>
      </c>
      <c r="I533" t="s">
        <v>25</v>
      </c>
      <c r="J533" t="s">
        <v>33</v>
      </c>
      <c r="K533" t="s">
        <v>12</v>
      </c>
    </row>
    <row r="534" spans="1:11" x14ac:dyDescent="0.25">
      <c r="A534" t="s">
        <v>1048</v>
      </c>
      <c r="B534" t="s">
        <v>133</v>
      </c>
      <c r="C534" t="s">
        <v>1049</v>
      </c>
      <c r="D534">
        <v>730098459</v>
      </c>
      <c r="E534" t="s">
        <v>9</v>
      </c>
      <c r="F534" s="1">
        <v>45586</v>
      </c>
      <c r="G534" t="s">
        <v>47</v>
      </c>
      <c r="H534" s="2">
        <v>1370.57</v>
      </c>
      <c r="I534" t="s">
        <v>25</v>
      </c>
      <c r="J534" t="s">
        <v>33</v>
      </c>
      <c r="K534" t="s">
        <v>12</v>
      </c>
    </row>
    <row r="535" spans="1:11" x14ac:dyDescent="0.25">
      <c r="A535" t="s">
        <v>1135</v>
      </c>
      <c r="B535" t="s">
        <v>51</v>
      </c>
      <c r="C535" t="s">
        <v>1136</v>
      </c>
      <c r="D535">
        <v>619806776</v>
      </c>
      <c r="E535" t="s">
        <v>9</v>
      </c>
      <c r="F535" s="1">
        <v>45351</v>
      </c>
      <c r="G535" t="s">
        <v>14</v>
      </c>
      <c r="H535" s="2">
        <v>888.42</v>
      </c>
      <c r="I535" t="s">
        <v>25</v>
      </c>
      <c r="J535" t="s">
        <v>33</v>
      </c>
      <c r="K535" t="s">
        <v>12</v>
      </c>
    </row>
    <row r="536" spans="1:11" x14ac:dyDescent="0.25">
      <c r="A536" t="s">
        <v>1104</v>
      </c>
      <c r="B536" t="s">
        <v>150</v>
      </c>
      <c r="C536" t="s">
        <v>1105</v>
      </c>
      <c r="D536">
        <v>731165363</v>
      </c>
      <c r="E536" t="s">
        <v>18</v>
      </c>
      <c r="F536" s="1">
        <v>45581</v>
      </c>
      <c r="G536" t="s">
        <v>21</v>
      </c>
      <c r="H536" s="2">
        <v>477.28</v>
      </c>
      <c r="I536" t="s">
        <v>25</v>
      </c>
      <c r="J536" t="s">
        <v>11</v>
      </c>
      <c r="K536" t="s">
        <v>16</v>
      </c>
    </row>
    <row r="537" spans="1:11" x14ac:dyDescent="0.25">
      <c r="A537" t="s">
        <v>1137</v>
      </c>
      <c r="B537" t="s">
        <v>37</v>
      </c>
      <c r="C537" t="s">
        <v>1138</v>
      </c>
      <c r="D537">
        <v>840470316</v>
      </c>
      <c r="E537" t="s">
        <v>18</v>
      </c>
      <c r="F537" s="1">
        <v>45810</v>
      </c>
      <c r="G537" t="s">
        <v>412</v>
      </c>
      <c r="H537" s="2">
        <v>1932.23</v>
      </c>
      <c r="I537" t="s">
        <v>25</v>
      </c>
      <c r="J537" t="s">
        <v>11</v>
      </c>
      <c r="K537" t="s">
        <v>16</v>
      </c>
    </row>
    <row r="538" spans="1:11" x14ac:dyDescent="0.25">
      <c r="A538" t="s">
        <v>1139</v>
      </c>
      <c r="B538" t="s">
        <v>217</v>
      </c>
      <c r="C538" t="s">
        <v>1140</v>
      </c>
      <c r="D538">
        <v>646689911</v>
      </c>
      <c r="E538" t="s">
        <v>9</v>
      </c>
      <c r="F538" s="1">
        <v>45490</v>
      </c>
      <c r="G538" t="s">
        <v>10</v>
      </c>
      <c r="H538" s="2">
        <v>1549.55</v>
      </c>
      <c r="I538" t="s">
        <v>25</v>
      </c>
      <c r="J538" t="s">
        <v>22</v>
      </c>
      <c r="K538" t="s">
        <v>16</v>
      </c>
    </row>
    <row r="539" spans="1:11" x14ac:dyDescent="0.25">
      <c r="A539" t="s">
        <v>1141</v>
      </c>
      <c r="B539" t="s">
        <v>348</v>
      </c>
      <c r="C539" t="s">
        <v>1142</v>
      </c>
      <c r="D539">
        <v>858084159</v>
      </c>
      <c r="E539" t="s">
        <v>13</v>
      </c>
      <c r="F539" s="1">
        <v>45305</v>
      </c>
      <c r="G539" t="s">
        <v>418</v>
      </c>
      <c r="H539" s="2">
        <v>798.19</v>
      </c>
      <c r="I539" t="s">
        <v>25</v>
      </c>
      <c r="J539" t="s">
        <v>26</v>
      </c>
      <c r="K539" t="s">
        <v>16</v>
      </c>
    </row>
    <row r="540" spans="1:11" x14ac:dyDescent="0.25">
      <c r="A540" t="s">
        <v>1143</v>
      </c>
      <c r="B540" t="s">
        <v>198</v>
      </c>
      <c r="C540" t="s">
        <v>1144</v>
      </c>
      <c r="D540">
        <v>828808869</v>
      </c>
      <c r="E540" t="s">
        <v>9</v>
      </c>
      <c r="F540" s="1">
        <v>45223</v>
      </c>
      <c r="G540" t="s">
        <v>418</v>
      </c>
      <c r="H540" s="2">
        <v>1486.51</v>
      </c>
      <c r="I540" t="s">
        <v>25</v>
      </c>
      <c r="J540" t="s">
        <v>11</v>
      </c>
      <c r="K540" t="s">
        <v>12</v>
      </c>
    </row>
    <row r="541" spans="1:11" x14ac:dyDescent="0.25">
      <c r="A541" t="s">
        <v>1145</v>
      </c>
      <c r="B541" t="s">
        <v>368</v>
      </c>
      <c r="C541" t="s">
        <v>1146</v>
      </c>
      <c r="D541">
        <v>724961052</v>
      </c>
      <c r="E541" t="s">
        <v>18</v>
      </c>
      <c r="F541" s="1">
        <v>45847</v>
      </c>
      <c r="G541" t="s">
        <v>35</v>
      </c>
      <c r="H541" s="2">
        <v>1410.32</v>
      </c>
      <c r="I541" t="s">
        <v>25</v>
      </c>
      <c r="J541" t="s">
        <v>36</v>
      </c>
      <c r="K541" t="s">
        <v>16</v>
      </c>
    </row>
    <row r="542" spans="1:11" x14ac:dyDescent="0.25">
      <c r="A542" t="s">
        <v>1147</v>
      </c>
      <c r="B542" t="s">
        <v>196</v>
      </c>
      <c r="C542" t="s">
        <v>1148</v>
      </c>
      <c r="D542">
        <v>732255248</v>
      </c>
      <c r="E542" t="s">
        <v>9</v>
      </c>
      <c r="F542" s="1">
        <v>45341</v>
      </c>
      <c r="G542" t="s">
        <v>10</v>
      </c>
      <c r="H542" s="2">
        <v>1638.19</v>
      </c>
      <c r="I542" t="s">
        <v>25</v>
      </c>
      <c r="J542" t="s">
        <v>11</v>
      </c>
      <c r="K542" t="s">
        <v>12</v>
      </c>
    </row>
    <row r="543" spans="1:11" x14ac:dyDescent="0.25">
      <c r="A543" t="s">
        <v>1092</v>
      </c>
      <c r="B543" t="s">
        <v>390</v>
      </c>
      <c r="C543" t="s">
        <v>1093</v>
      </c>
      <c r="D543">
        <v>713652480</v>
      </c>
      <c r="E543" t="s">
        <v>13</v>
      </c>
      <c r="F543" s="1">
        <v>45751</v>
      </c>
      <c r="G543" t="s">
        <v>478</v>
      </c>
      <c r="H543" s="2">
        <v>1792.1</v>
      </c>
      <c r="I543" t="s">
        <v>25</v>
      </c>
      <c r="J543" t="s">
        <v>22</v>
      </c>
      <c r="K543" t="s">
        <v>16</v>
      </c>
    </row>
    <row r="544" spans="1:11" x14ac:dyDescent="0.25">
      <c r="A544" t="s">
        <v>601</v>
      </c>
      <c r="B544" t="s">
        <v>339</v>
      </c>
      <c r="C544" t="s">
        <v>602</v>
      </c>
      <c r="D544">
        <v>825868533</v>
      </c>
      <c r="E544" t="s">
        <v>18</v>
      </c>
      <c r="F544" s="1">
        <v>45434</v>
      </c>
      <c r="G544" t="s">
        <v>603</v>
      </c>
      <c r="H544" s="2">
        <v>1024.9000000000001</v>
      </c>
      <c r="I544" t="s">
        <v>25</v>
      </c>
      <c r="J544" t="s">
        <v>22</v>
      </c>
      <c r="K544" t="s">
        <v>16</v>
      </c>
    </row>
    <row r="545" spans="1:11" x14ac:dyDescent="0.25">
      <c r="A545" t="s">
        <v>756</v>
      </c>
      <c r="B545" t="s">
        <v>302</v>
      </c>
      <c r="C545" t="s">
        <v>757</v>
      </c>
      <c r="D545">
        <v>705473147</v>
      </c>
      <c r="E545" t="s">
        <v>9</v>
      </c>
      <c r="F545" s="1">
        <v>45377</v>
      </c>
      <c r="G545" t="s">
        <v>24</v>
      </c>
      <c r="H545" s="2">
        <v>1448.62</v>
      </c>
      <c r="I545" t="s">
        <v>444</v>
      </c>
      <c r="J545" t="s">
        <v>22</v>
      </c>
      <c r="K545" t="s">
        <v>12</v>
      </c>
    </row>
    <row r="546" spans="1:11" x14ac:dyDescent="0.25">
      <c r="A546" t="s">
        <v>822</v>
      </c>
      <c r="B546" t="s">
        <v>392</v>
      </c>
      <c r="C546" t="s">
        <v>823</v>
      </c>
      <c r="D546">
        <v>725966550</v>
      </c>
      <c r="E546" t="s">
        <v>9</v>
      </c>
      <c r="F546" s="1">
        <v>45906</v>
      </c>
      <c r="G546" t="s">
        <v>10</v>
      </c>
      <c r="H546" s="2">
        <v>185.55</v>
      </c>
      <c r="I546" t="s">
        <v>25</v>
      </c>
      <c r="J546" t="s">
        <v>22</v>
      </c>
      <c r="K546" t="s">
        <v>12</v>
      </c>
    </row>
    <row r="547" spans="1:11" x14ac:dyDescent="0.25">
      <c r="A547" t="s">
        <v>1149</v>
      </c>
      <c r="B547" t="s">
        <v>271</v>
      </c>
      <c r="C547" t="s">
        <v>1150</v>
      </c>
      <c r="D547">
        <v>897233546</v>
      </c>
      <c r="E547" t="s">
        <v>9</v>
      </c>
      <c r="F547" s="1">
        <v>45737</v>
      </c>
      <c r="G547" t="s">
        <v>24</v>
      </c>
      <c r="H547" s="2">
        <v>292.37</v>
      </c>
      <c r="I547" t="s">
        <v>507</v>
      </c>
      <c r="J547" t="s">
        <v>33</v>
      </c>
      <c r="K547" t="s">
        <v>16</v>
      </c>
    </row>
    <row r="548" spans="1:11" x14ac:dyDescent="0.25">
      <c r="A548" t="s">
        <v>529</v>
      </c>
      <c r="B548" t="s">
        <v>31</v>
      </c>
      <c r="C548" t="s">
        <v>530</v>
      </c>
      <c r="D548">
        <v>699922916</v>
      </c>
      <c r="E548" t="s">
        <v>9</v>
      </c>
      <c r="F548" s="1">
        <v>45902</v>
      </c>
      <c r="G548" t="s">
        <v>29</v>
      </c>
      <c r="H548" s="2">
        <v>1085.54</v>
      </c>
      <c r="I548" t="s">
        <v>444</v>
      </c>
      <c r="J548" t="s">
        <v>22</v>
      </c>
      <c r="K548" t="s">
        <v>12</v>
      </c>
    </row>
    <row r="549" spans="1:11" x14ac:dyDescent="0.25">
      <c r="A549" t="s">
        <v>913</v>
      </c>
      <c r="B549" t="s">
        <v>104</v>
      </c>
      <c r="C549" t="s">
        <v>914</v>
      </c>
      <c r="D549">
        <v>725307458</v>
      </c>
      <c r="E549" t="s">
        <v>9</v>
      </c>
      <c r="F549" s="1">
        <v>45830</v>
      </c>
      <c r="G549" t="s">
        <v>478</v>
      </c>
      <c r="H549" s="2">
        <v>1746.45</v>
      </c>
      <c r="I549" t="s">
        <v>25</v>
      </c>
      <c r="J549" t="s">
        <v>11</v>
      </c>
      <c r="K549" t="s">
        <v>12</v>
      </c>
    </row>
    <row r="550" spans="1:11" x14ac:dyDescent="0.25">
      <c r="A550" t="s">
        <v>949</v>
      </c>
      <c r="B550" t="s">
        <v>182</v>
      </c>
      <c r="C550" t="s">
        <v>950</v>
      </c>
      <c r="D550">
        <v>741931466</v>
      </c>
      <c r="E550" t="s">
        <v>18</v>
      </c>
      <c r="F550" s="1">
        <v>45405</v>
      </c>
      <c r="G550" t="s">
        <v>440</v>
      </c>
      <c r="H550" s="2">
        <v>923.81</v>
      </c>
      <c r="I550" t="s">
        <v>25</v>
      </c>
      <c r="J550" t="s">
        <v>11</v>
      </c>
      <c r="K550" t="s">
        <v>12</v>
      </c>
    </row>
    <row r="551" spans="1:11" x14ac:dyDescent="0.25">
      <c r="A551" t="s">
        <v>1151</v>
      </c>
      <c r="B551" t="s">
        <v>396</v>
      </c>
      <c r="C551" t="s">
        <v>1152</v>
      </c>
      <c r="D551">
        <v>741286548</v>
      </c>
      <c r="E551" t="s">
        <v>18</v>
      </c>
      <c r="F551" s="1">
        <v>45325</v>
      </c>
      <c r="G551" t="s">
        <v>443</v>
      </c>
      <c r="H551" s="2">
        <v>1790.58</v>
      </c>
      <c r="I551" t="s">
        <v>25</v>
      </c>
      <c r="J551" t="s">
        <v>11</v>
      </c>
      <c r="K551" t="s">
        <v>12</v>
      </c>
    </row>
    <row r="552" spans="1:11" x14ac:dyDescent="0.25">
      <c r="A552" t="s">
        <v>1153</v>
      </c>
      <c r="B552" t="s">
        <v>1046</v>
      </c>
      <c r="C552" t="s">
        <v>1154</v>
      </c>
      <c r="D552">
        <v>717920847</v>
      </c>
      <c r="E552" t="s">
        <v>9</v>
      </c>
      <c r="F552" s="1">
        <v>45530</v>
      </c>
      <c r="G552" t="s">
        <v>440</v>
      </c>
      <c r="H552" s="2">
        <v>1485.18</v>
      </c>
      <c r="I552" t="s">
        <v>25</v>
      </c>
      <c r="J552" t="s">
        <v>22</v>
      </c>
      <c r="K552" t="s">
        <v>12</v>
      </c>
    </row>
    <row r="553" spans="1:11" x14ac:dyDescent="0.25">
      <c r="A553" t="s">
        <v>1155</v>
      </c>
      <c r="B553" t="s">
        <v>218</v>
      </c>
      <c r="C553" t="s">
        <v>1156</v>
      </c>
      <c r="D553">
        <v>703370540</v>
      </c>
      <c r="E553" t="s">
        <v>9</v>
      </c>
      <c r="F553" s="1">
        <v>45513</v>
      </c>
      <c r="G553" t="s">
        <v>35</v>
      </c>
      <c r="H553" s="2">
        <v>1438.88</v>
      </c>
      <c r="I553" t="s">
        <v>444</v>
      </c>
      <c r="J553" t="s">
        <v>22</v>
      </c>
      <c r="K553" t="s">
        <v>12</v>
      </c>
    </row>
    <row r="554" spans="1:11" x14ac:dyDescent="0.25">
      <c r="A554" t="s">
        <v>792</v>
      </c>
      <c r="B554" t="s">
        <v>179</v>
      </c>
      <c r="C554" t="s">
        <v>793</v>
      </c>
      <c r="D554">
        <v>628481126</v>
      </c>
      <c r="E554" t="s">
        <v>9</v>
      </c>
      <c r="F554" s="1">
        <v>45781</v>
      </c>
      <c r="G554" t="s">
        <v>21</v>
      </c>
      <c r="H554" s="2">
        <v>497.69</v>
      </c>
      <c r="I554" t="s">
        <v>25</v>
      </c>
      <c r="J554" t="s">
        <v>33</v>
      </c>
      <c r="K554" t="s">
        <v>16</v>
      </c>
    </row>
    <row r="555" spans="1:11" x14ac:dyDescent="0.25">
      <c r="A555" t="s">
        <v>553</v>
      </c>
      <c r="B555" t="s">
        <v>283</v>
      </c>
      <c r="C555" t="s">
        <v>554</v>
      </c>
      <c r="D555">
        <v>706050514</v>
      </c>
      <c r="E555" t="s">
        <v>9</v>
      </c>
      <c r="F555" s="1">
        <v>45735</v>
      </c>
      <c r="G555" t="s">
        <v>47</v>
      </c>
      <c r="H555" s="2">
        <v>1263.5</v>
      </c>
      <c r="I555" t="s">
        <v>25</v>
      </c>
      <c r="J555" t="s">
        <v>22</v>
      </c>
      <c r="K555" t="s">
        <v>12</v>
      </c>
    </row>
    <row r="556" spans="1:11" x14ac:dyDescent="0.25">
      <c r="A556" t="s">
        <v>610</v>
      </c>
      <c r="B556" t="s">
        <v>385</v>
      </c>
      <c r="C556" t="s">
        <v>611</v>
      </c>
      <c r="D556">
        <v>709840779</v>
      </c>
      <c r="E556" t="s">
        <v>13</v>
      </c>
      <c r="F556" s="1">
        <v>45571</v>
      </c>
      <c r="G556" t="s">
        <v>14</v>
      </c>
      <c r="H556" s="2">
        <v>987.97</v>
      </c>
      <c r="I556" t="s">
        <v>507</v>
      </c>
      <c r="J556" t="s">
        <v>33</v>
      </c>
      <c r="K556" t="s">
        <v>12</v>
      </c>
    </row>
    <row r="557" spans="1:11" x14ac:dyDescent="0.25">
      <c r="A557" t="s">
        <v>1157</v>
      </c>
      <c r="B557" t="s">
        <v>334</v>
      </c>
      <c r="C557" t="s">
        <v>1158</v>
      </c>
      <c r="D557">
        <v>646104560</v>
      </c>
      <c r="E557" t="s">
        <v>9</v>
      </c>
      <c r="F557" s="1">
        <v>45539</v>
      </c>
      <c r="G557" t="s">
        <v>24</v>
      </c>
      <c r="H557" s="2">
        <v>1345.43</v>
      </c>
      <c r="I557" t="s">
        <v>25</v>
      </c>
      <c r="J557" t="s">
        <v>33</v>
      </c>
      <c r="K557" t="s">
        <v>16</v>
      </c>
    </row>
    <row r="558" spans="1:11" x14ac:dyDescent="0.25">
      <c r="A558" t="s">
        <v>1149</v>
      </c>
      <c r="B558" t="s">
        <v>271</v>
      </c>
      <c r="C558" t="s">
        <v>1150</v>
      </c>
      <c r="D558">
        <v>897233546</v>
      </c>
      <c r="E558" t="s">
        <v>9</v>
      </c>
      <c r="F558" s="1">
        <v>45905</v>
      </c>
      <c r="G558" t="s">
        <v>24</v>
      </c>
      <c r="H558" s="2">
        <v>1035.3599999999999</v>
      </c>
      <c r="I558" t="s">
        <v>25</v>
      </c>
      <c r="J558" t="s">
        <v>22</v>
      </c>
      <c r="K558" t="s">
        <v>12</v>
      </c>
    </row>
    <row r="559" spans="1:11" x14ac:dyDescent="0.25">
      <c r="A559" t="s">
        <v>1159</v>
      </c>
      <c r="B559" t="s">
        <v>1160</v>
      </c>
      <c r="C559" t="s">
        <v>1161</v>
      </c>
      <c r="D559">
        <v>722921001</v>
      </c>
      <c r="E559" t="s">
        <v>9</v>
      </c>
      <c r="F559" s="1">
        <v>45657</v>
      </c>
      <c r="G559" t="s">
        <v>440</v>
      </c>
      <c r="H559" s="2">
        <v>1730.9</v>
      </c>
      <c r="I559" t="s">
        <v>25</v>
      </c>
      <c r="J559" t="s">
        <v>33</v>
      </c>
      <c r="K559" t="s">
        <v>12</v>
      </c>
    </row>
    <row r="560" spans="1:11" x14ac:dyDescent="0.25">
      <c r="A560" t="s">
        <v>756</v>
      </c>
      <c r="B560" t="s">
        <v>302</v>
      </c>
      <c r="C560" t="s">
        <v>757</v>
      </c>
      <c r="D560">
        <v>705473147</v>
      </c>
      <c r="E560" t="s">
        <v>9</v>
      </c>
      <c r="F560" s="1">
        <v>45357</v>
      </c>
      <c r="G560" t="s">
        <v>24</v>
      </c>
      <c r="H560" s="2">
        <v>69.31</v>
      </c>
      <c r="I560" t="s">
        <v>25</v>
      </c>
      <c r="J560" t="s">
        <v>26</v>
      </c>
      <c r="K560" t="s">
        <v>16</v>
      </c>
    </row>
    <row r="561" spans="1:11" x14ac:dyDescent="0.25">
      <c r="A561" t="s">
        <v>1147</v>
      </c>
      <c r="B561" t="s">
        <v>196</v>
      </c>
      <c r="C561" t="s">
        <v>1148</v>
      </c>
      <c r="D561">
        <v>732255248</v>
      </c>
      <c r="E561" t="s">
        <v>9</v>
      </c>
      <c r="F561" s="1">
        <v>45888</v>
      </c>
      <c r="G561" t="s">
        <v>10</v>
      </c>
      <c r="H561" s="2">
        <v>405.31</v>
      </c>
      <c r="I561" t="s">
        <v>444</v>
      </c>
      <c r="J561" t="s">
        <v>11</v>
      </c>
      <c r="K561" t="s">
        <v>16</v>
      </c>
    </row>
    <row r="562" spans="1:11" x14ac:dyDescent="0.25">
      <c r="A562" t="s">
        <v>864</v>
      </c>
      <c r="B562" t="s">
        <v>30</v>
      </c>
      <c r="C562" t="s">
        <v>865</v>
      </c>
      <c r="D562">
        <v>803943952</v>
      </c>
      <c r="E562" t="s">
        <v>13</v>
      </c>
      <c r="F562" s="1">
        <v>45709</v>
      </c>
      <c r="G562" t="s">
        <v>423</v>
      </c>
      <c r="H562" s="2">
        <v>146.86000000000001</v>
      </c>
      <c r="I562" t="s">
        <v>25</v>
      </c>
      <c r="J562" t="s">
        <v>15</v>
      </c>
      <c r="K562" t="s">
        <v>12</v>
      </c>
    </row>
    <row r="563" spans="1:11" x14ac:dyDescent="0.25">
      <c r="A563" t="s">
        <v>1162</v>
      </c>
      <c r="B563" t="s">
        <v>381</v>
      </c>
      <c r="C563" t="s">
        <v>1163</v>
      </c>
      <c r="D563">
        <v>938130308</v>
      </c>
      <c r="E563" t="s">
        <v>18</v>
      </c>
      <c r="F563" s="1">
        <v>45237</v>
      </c>
      <c r="G563" t="s">
        <v>423</v>
      </c>
      <c r="H563" s="2">
        <v>894.52</v>
      </c>
      <c r="I563" t="s">
        <v>25</v>
      </c>
      <c r="J563" t="s">
        <v>11</v>
      </c>
      <c r="K563" t="s">
        <v>12</v>
      </c>
    </row>
    <row r="564" spans="1:11" x14ac:dyDescent="0.25">
      <c r="A564" t="s">
        <v>754</v>
      </c>
      <c r="B564" t="s">
        <v>307</v>
      </c>
      <c r="C564" t="s">
        <v>755</v>
      </c>
      <c r="D564">
        <v>726605821</v>
      </c>
      <c r="E564" t="s">
        <v>18</v>
      </c>
      <c r="F564" s="1">
        <v>45606</v>
      </c>
      <c r="G564" t="s">
        <v>24</v>
      </c>
      <c r="H564" s="2">
        <v>74.69</v>
      </c>
      <c r="I564" t="s">
        <v>25</v>
      </c>
      <c r="J564" t="s">
        <v>11</v>
      </c>
      <c r="K564" t="s">
        <v>16</v>
      </c>
    </row>
    <row r="565" spans="1:11" x14ac:dyDescent="0.25">
      <c r="A565" t="s">
        <v>1164</v>
      </c>
      <c r="B565" t="s">
        <v>406</v>
      </c>
      <c r="C565" t="s">
        <v>1165</v>
      </c>
      <c r="D565">
        <v>742320022</v>
      </c>
      <c r="E565" t="s">
        <v>9</v>
      </c>
      <c r="F565" s="1">
        <v>45628</v>
      </c>
      <c r="G565" t="s">
        <v>19</v>
      </c>
      <c r="H565" s="2">
        <v>1910.23</v>
      </c>
      <c r="I565" t="s">
        <v>25</v>
      </c>
      <c r="J565" t="s">
        <v>22</v>
      </c>
      <c r="K565" t="s">
        <v>16</v>
      </c>
    </row>
    <row r="566" spans="1:11" x14ac:dyDescent="0.25">
      <c r="A566" t="s">
        <v>1166</v>
      </c>
      <c r="B566" t="s">
        <v>121</v>
      </c>
      <c r="C566" t="s">
        <v>1167</v>
      </c>
      <c r="D566">
        <v>701616066</v>
      </c>
      <c r="E566" t="s">
        <v>9</v>
      </c>
      <c r="F566" s="1">
        <v>45582</v>
      </c>
      <c r="G566" t="s">
        <v>506</v>
      </c>
      <c r="H566" s="2">
        <v>139.68</v>
      </c>
      <c r="I566" t="s">
        <v>444</v>
      </c>
      <c r="J566" t="s">
        <v>26</v>
      </c>
      <c r="K566" t="s">
        <v>12</v>
      </c>
    </row>
    <row r="567" spans="1:11" x14ac:dyDescent="0.25">
      <c r="A567" t="s">
        <v>769</v>
      </c>
      <c r="B567" t="s">
        <v>140</v>
      </c>
      <c r="C567" t="s">
        <v>770</v>
      </c>
      <c r="D567">
        <v>933609477</v>
      </c>
      <c r="E567" t="s">
        <v>9</v>
      </c>
      <c r="F567" s="1">
        <v>45391</v>
      </c>
      <c r="G567" t="s">
        <v>418</v>
      </c>
      <c r="H567" s="2">
        <v>992.35</v>
      </c>
      <c r="I567" t="s">
        <v>444</v>
      </c>
      <c r="J567" t="s">
        <v>33</v>
      </c>
      <c r="K567" t="s">
        <v>12</v>
      </c>
    </row>
    <row r="568" spans="1:11" x14ac:dyDescent="0.25">
      <c r="A568" t="s">
        <v>972</v>
      </c>
      <c r="B568" t="s">
        <v>391</v>
      </c>
      <c r="C568" t="s">
        <v>973</v>
      </c>
      <c r="D568">
        <v>689640017</v>
      </c>
      <c r="E568" t="s">
        <v>9</v>
      </c>
      <c r="F568" s="1">
        <v>45563</v>
      </c>
      <c r="G568" t="s">
        <v>478</v>
      </c>
      <c r="H568" s="2">
        <v>1876.09</v>
      </c>
      <c r="I568" t="s">
        <v>25</v>
      </c>
      <c r="J568" t="s">
        <v>22</v>
      </c>
      <c r="K568" t="s">
        <v>12</v>
      </c>
    </row>
    <row r="569" spans="1:11" x14ac:dyDescent="0.25">
      <c r="A569" t="s">
        <v>723</v>
      </c>
      <c r="B569" t="s">
        <v>63</v>
      </c>
      <c r="C569" t="s">
        <v>724</v>
      </c>
      <c r="D569">
        <v>819517980</v>
      </c>
      <c r="E569" t="s">
        <v>13</v>
      </c>
      <c r="F569" s="1">
        <v>45437</v>
      </c>
      <c r="G569" t="s">
        <v>423</v>
      </c>
      <c r="H569" s="2">
        <v>1010.46</v>
      </c>
      <c r="I569" t="s">
        <v>25</v>
      </c>
      <c r="J569" t="s">
        <v>22</v>
      </c>
      <c r="K569" t="s">
        <v>12</v>
      </c>
    </row>
    <row r="570" spans="1:11" x14ac:dyDescent="0.25">
      <c r="A570" t="s">
        <v>1168</v>
      </c>
      <c r="B570" t="s">
        <v>74</v>
      </c>
      <c r="C570" t="s">
        <v>1169</v>
      </c>
      <c r="D570">
        <v>721034679</v>
      </c>
      <c r="E570" t="s">
        <v>9</v>
      </c>
      <c r="F570" s="1">
        <v>45194</v>
      </c>
      <c r="G570" t="s">
        <v>603</v>
      </c>
      <c r="H570" s="2">
        <v>1282</v>
      </c>
      <c r="I570" t="s">
        <v>444</v>
      </c>
      <c r="J570" t="s">
        <v>22</v>
      </c>
      <c r="K570" t="s">
        <v>12</v>
      </c>
    </row>
    <row r="571" spans="1:11" x14ac:dyDescent="0.25">
      <c r="A571" t="s">
        <v>845</v>
      </c>
      <c r="B571" t="s">
        <v>174</v>
      </c>
      <c r="C571" t="s">
        <v>846</v>
      </c>
      <c r="D571">
        <v>739067408</v>
      </c>
      <c r="E571" t="s">
        <v>9</v>
      </c>
      <c r="F571" s="1">
        <v>45201</v>
      </c>
      <c r="G571" t="s">
        <v>460</v>
      </c>
      <c r="H571" s="2">
        <v>1243.46</v>
      </c>
      <c r="I571" t="s">
        <v>444</v>
      </c>
      <c r="J571" t="s">
        <v>15</v>
      </c>
      <c r="K571" t="s">
        <v>16</v>
      </c>
    </row>
    <row r="572" spans="1:11" x14ac:dyDescent="0.25">
      <c r="A572" t="s">
        <v>1170</v>
      </c>
      <c r="B572" t="s">
        <v>93</v>
      </c>
      <c r="C572" t="s">
        <v>1171</v>
      </c>
      <c r="D572">
        <v>735688259</v>
      </c>
      <c r="E572" t="s">
        <v>9</v>
      </c>
      <c r="F572" s="1">
        <v>45759</v>
      </c>
      <c r="G572" t="s">
        <v>29</v>
      </c>
      <c r="H572" s="2">
        <v>1637.49</v>
      </c>
      <c r="I572" t="s">
        <v>25</v>
      </c>
      <c r="J572" t="s">
        <v>22</v>
      </c>
      <c r="K572" t="s">
        <v>16</v>
      </c>
    </row>
    <row r="573" spans="1:11" x14ac:dyDescent="0.25">
      <c r="A573" t="s">
        <v>1172</v>
      </c>
      <c r="B573" t="s">
        <v>163</v>
      </c>
      <c r="C573" t="s">
        <v>1173</v>
      </c>
      <c r="D573">
        <v>960053641</v>
      </c>
      <c r="E573" t="s">
        <v>13</v>
      </c>
      <c r="F573" s="1">
        <v>45187</v>
      </c>
      <c r="G573" t="s">
        <v>440</v>
      </c>
      <c r="H573" s="2">
        <v>50.89</v>
      </c>
      <c r="I573" t="s">
        <v>25</v>
      </c>
      <c r="J573" t="s">
        <v>22</v>
      </c>
      <c r="K573" t="s">
        <v>16</v>
      </c>
    </row>
    <row r="574" spans="1:11" x14ac:dyDescent="0.25">
      <c r="A574" t="s">
        <v>978</v>
      </c>
      <c r="B574" t="s">
        <v>355</v>
      </c>
      <c r="C574" t="s">
        <v>979</v>
      </c>
      <c r="D574">
        <v>721979865</v>
      </c>
      <c r="E574" t="s">
        <v>9</v>
      </c>
      <c r="F574" s="1">
        <v>45272</v>
      </c>
      <c r="G574" t="s">
        <v>518</v>
      </c>
      <c r="H574" s="2">
        <v>756.72</v>
      </c>
      <c r="I574" t="s">
        <v>25</v>
      </c>
      <c r="J574" t="s">
        <v>15</v>
      </c>
      <c r="K574" t="s">
        <v>12</v>
      </c>
    </row>
    <row r="575" spans="1:11" x14ac:dyDescent="0.25">
      <c r="A575" t="s">
        <v>1174</v>
      </c>
      <c r="B575" t="s">
        <v>273</v>
      </c>
      <c r="C575" t="s">
        <v>1175</v>
      </c>
      <c r="D575">
        <v>706340219</v>
      </c>
      <c r="E575" t="s">
        <v>9</v>
      </c>
      <c r="F575" s="1">
        <v>45313</v>
      </c>
      <c r="G575" t="s">
        <v>19</v>
      </c>
      <c r="H575" s="2">
        <v>257.38</v>
      </c>
      <c r="I575" t="s">
        <v>25</v>
      </c>
      <c r="J575" t="s">
        <v>15</v>
      </c>
      <c r="K575" t="s">
        <v>16</v>
      </c>
    </row>
    <row r="576" spans="1:11" x14ac:dyDescent="0.25">
      <c r="A576" t="s">
        <v>894</v>
      </c>
      <c r="B576" t="s">
        <v>895</v>
      </c>
      <c r="C576" t="s">
        <v>896</v>
      </c>
      <c r="D576">
        <v>748416256</v>
      </c>
      <c r="E576" t="s">
        <v>9</v>
      </c>
      <c r="F576" s="1">
        <v>45834</v>
      </c>
      <c r="G576" t="s">
        <v>418</v>
      </c>
      <c r="H576" s="2">
        <v>1825.21</v>
      </c>
      <c r="I576" t="s">
        <v>25</v>
      </c>
      <c r="J576" t="s">
        <v>22</v>
      </c>
      <c r="K576" t="s">
        <v>16</v>
      </c>
    </row>
    <row r="577" spans="1:11" x14ac:dyDescent="0.25">
      <c r="A577" t="s">
        <v>1036</v>
      </c>
      <c r="B577" t="s">
        <v>193</v>
      </c>
      <c r="C577" t="s">
        <v>1037</v>
      </c>
      <c r="D577">
        <v>716805697</v>
      </c>
      <c r="E577" t="s">
        <v>9</v>
      </c>
      <c r="F577" s="1">
        <v>45796</v>
      </c>
      <c r="G577" t="s">
        <v>21</v>
      </c>
      <c r="H577" s="2">
        <v>1144.6500000000001</v>
      </c>
      <c r="I577" t="s">
        <v>25</v>
      </c>
      <c r="J577" t="s">
        <v>22</v>
      </c>
      <c r="K577" t="s">
        <v>16</v>
      </c>
    </row>
    <row r="578" spans="1:11" x14ac:dyDescent="0.25">
      <c r="A578" t="s">
        <v>790</v>
      </c>
      <c r="B578" t="s">
        <v>153</v>
      </c>
      <c r="C578" t="s">
        <v>791</v>
      </c>
      <c r="D578">
        <v>705676062</v>
      </c>
      <c r="E578" t="s">
        <v>18</v>
      </c>
      <c r="F578" s="1">
        <v>45341</v>
      </c>
      <c r="G578" t="s">
        <v>19</v>
      </c>
      <c r="H578" s="2">
        <v>1961.19</v>
      </c>
      <c r="I578" t="s">
        <v>25</v>
      </c>
      <c r="J578" t="s">
        <v>33</v>
      </c>
      <c r="K578" t="s">
        <v>16</v>
      </c>
    </row>
    <row r="579" spans="1:11" x14ac:dyDescent="0.25">
      <c r="A579" t="s">
        <v>839</v>
      </c>
      <c r="B579" t="s">
        <v>236</v>
      </c>
      <c r="C579" t="s">
        <v>840</v>
      </c>
      <c r="D579">
        <v>710165186</v>
      </c>
      <c r="E579" t="s">
        <v>9</v>
      </c>
      <c r="F579" s="1">
        <v>45323</v>
      </c>
      <c r="G579" t="s">
        <v>32</v>
      </c>
      <c r="H579" s="2">
        <v>280.24</v>
      </c>
      <c r="I579" t="s">
        <v>25</v>
      </c>
      <c r="J579" t="s">
        <v>11</v>
      </c>
      <c r="K579" t="s">
        <v>12</v>
      </c>
    </row>
    <row r="580" spans="1:11" x14ac:dyDescent="0.25">
      <c r="A580" t="s">
        <v>739</v>
      </c>
      <c r="B580" t="s">
        <v>147</v>
      </c>
      <c r="C580" t="s">
        <v>740</v>
      </c>
      <c r="D580">
        <v>732688394</v>
      </c>
      <c r="E580" t="s">
        <v>9</v>
      </c>
      <c r="F580" s="1">
        <v>45251</v>
      </c>
      <c r="G580" t="s">
        <v>10</v>
      </c>
      <c r="H580" s="2">
        <v>1146.75</v>
      </c>
      <c r="I580" t="s">
        <v>25</v>
      </c>
      <c r="J580" t="s">
        <v>15</v>
      </c>
      <c r="K580" t="s">
        <v>12</v>
      </c>
    </row>
    <row r="581" spans="1:11" x14ac:dyDescent="0.25">
      <c r="A581" t="s">
        <v>1176</v>
      </c>
      <c r="B581" t="s">
        <v>229</v>
      </c>
      <c r="C581" t="s">
        <v>1177</v>
      </c>
      <c r="D581">
        <v>748025884</v>
      </c>
      <c r="E581" t="s">
        <v>18</v>
      </c>
      <c r="F581" s="1">
        <v>45607</v>
      </c>
      <c r="G581" t="s">
        <v>415</v>
      </c>
      <c r="H581" s="2">
        <v>601.4</v>
      </c>
      <c r="I581" t="s">
        <v>25</v>
      </c>
      <c r="J581" t="s">
        <v>11</v>
      </c>
      <c r="K581" t="s">
        <v>12</v>
      </c>
    </row>
    <row r="582" spans="1:11" x14ac:dyDescent="0.25">
      <c r="A582" t="s">
        <v>469</v>
      </c>
      <c r="B582" t="s">
        <v>304</v>
      </c>
      <c r="C582" t="s">
        <v>470</v>
      </c>
      <c r="D582">
        <v>742924464</v>
      </c>
      <c r="E582" t="s">
        <v>18</v>
      </c>
      <c r="F582" s="1">
        <v>45403</v>
      </c>
      <c r="G582" t="s">
        <v>443</v>
      </c>
      <c r="H582" s="2">
        <v>1084.6099999999999</v>
      </c>
      <c r="I582" t="s">
        <v>25</v>
      </c>
      <c r="J582" t="s">
        <v>22</v>
      </c>
      <c r="K582" t="s">
        <v>12</v>
      </c>
    </row>
    <row r="583" spans="1:11" x14ac:dyDescent="0.25">
      <c r="A583" t="s">
        <v>1178</v>
      </c>
      <c r="B583" t="s">
        <v>97</v>
      </c>
      <c r="C583" t="s">
        <v>1179</v>
      </c>
      <c r="D583">
        <v>742697581</v>
      </c>
      <c r="E583" t="s">
        <v>9</v>
      </c>
      <c r="F583" s="1">
        <v>45454</v>
      </c>
      <c r="G583" t="s">
        <v>440</v>
      </c>
      <c r="H583" s="2">
        <v>547.46</v>
      </c>
      <c r="I583" t="s">
        <v>25</v>
      </c>
      <c r="J583" t="s">
        <v>33</v>
      </c>
      <c r="K583" t="s">
        <v>12</v>
      </c>
    </row>
    <row r="584" spans="1:11" x14ac:dyDescent="0.25">
      <c r="A584" t="s">
        <v>1064</v>
      </c>
      <c r="B584" t="s">
        <v>380</v>
      </c>
      <c r="C584" t="s">
        <v>1065</v>
      </c>
      <c r="D584">
        <v>704384474</v>
      </c>
      <c r="E584" t="s">
        <v>9</v>
      </c>
      <c r="F584" s="1">
        <v>45652</v>
      </c>
      <c r="G584" t="s">
        <v>412</v>
      </c>
      <c r="H584" s="2">
        <v>984.63</v>
      </c>
      <c r="I584" t="s">
        <v>25</v>
      </c>
      <c r="J584" t="s">
        <v>11</v>
      </c>
      <c r="K584" t="s">
        <v>16</v>
      </c>
    </row>
    <row r="585" spans="1:11" x14ac:dyDescent="0.25">
      <c r="A585" t="s">
        <v>1180</v>
      </c>
      <c r="B585" t="s">
        <v>246</v>
      </c>
      <c r="C585" t="s">
        <v>1181</v>
      </c>
      <c r="D585">
        <v>974043470</v>
      </c>
      <c r="E585" t="s">
        <v>18</v>
      </c>
      <c r="F585" s="1">
        <v>45501</v>
      </c>
      <c r="G585" t="s">
        <v>415</v>
      </c>
      <c r="H585" s="2">
        <v>39.94</v>
      </c>
      <c r="I585" t="s">
        <v>25</v>
      </c>
      <c r="J585" t="s">
        <v>11</v>
      </c>
      <c r="K585" t="s">
        <v>12</v>
      </c>
    </row>
    <row r="586" spans="1:11" x14ac:dyDescent="0.25">
      <c r="A586" t="s">
        <v>1182</v>
      </c>
      <c r="B586" t="s">
        <v>328</v>
      </c>
      <c r="C586" t="s">
        <v>1183</v>
      </c>
      <c r="D586">
        <v>688673130</v>
      </c>
      <c r="E586" t="s">
        <v>18</v>
      </c>
      <c r="F586" s="1">
        <v>45225</v>
      </c>
      <c r="G586" t="s">
        <v>624</v>
      </c>
      <c r="H586" s="2">
        <v>914.96</v>
      </c>
      <c r="I586" t="s">
        <v>25</v>
      </c>
      <c r="J586" t="s">
        <v>11</v>
      </c>
      <c r="K586" t="s">
        <v>16</v>
      </c>
    </row>
    <row r="587" spans="1:11" x14ac:dyDescent="0.25">
      <c r="A587" t="s">
        <v>932</v>
      </c>
      <c r="B587" t="s">
        <v>180</v>
      </c>
      <c r="C587" t="s">
        <v>933</v>
      </c>
      <c r="D587">
        <v>714298563</v>
      </c>
      <c r="E587" t="s">
        <v>9</v>
      </c>
      <c r="F587" s="1">
        <v>45770</v>
      </c>
      <c r="G587" t="s">
        <v>506</v>
      </c>
      <c r="H587" s="2">
        <v>1193.32</v>
      </c>
      <c r="I587" t="s">
        <v>25</v>
      </c>
      <c r="J587" t="s">
        <v>36</v>
      </c>
      <c r="K587" t="s">
        <v>12</v>
      </c>
    </row>
    <row r="588" spans="1:11" x14ac:dyDescent="0.25">
      <c r="A588" t="s">
        <v>1184</v>
      </c>
      <c r="B588" t="s">
        <v>260</v>
      </c>
      <c r="C588" t="s">
        <v>1185</v>
      </c>
      <c r="D588">
        <v>985194664</v>
      </c>
      <c r="E588" t="s">
        <v>9</v>
      </c>
      <c r="F588" s="1">
        <v>45568</v>
      </c>
      <c r="G588" t="s">
        <v>418</v>
      </c>
      <c r="H588" s="2">
        <v>1609.64</v>
      </c>
      <c r="I588" t="s">
        <v>507</v>
      </c>
      <c r="J588" t="s">
        <v>22</v>
      </c>
      <c r="K588" t="s">
        <v>16</v>
      </c>
    </row>
    <row r="589" spans="1:11" x14ac:dyDescent="0.25">
      <c r="A589" t="s">
        <v>972</v>
      </c>
      <c r="B589" t="s">
        <v>391</v>
      </c>
      <c r="C589" t="s">
        <v>973</v>
      </c>
      <c r="D589">
        <v>689640017</v>
      </c>
      <c r="E589" t="s">
        <v>9</v>
      </c>
      <c r="F589" s="1">
        <v>45284</v>
      </c>
      <c r="G589" t="s">
        <v>478</v>
      </c>
      <c r="H589" s="2">
        <v>1913.84</v>
      </c>
      <c r="I589" t="s">
        <v>25</v>
      </c>
      <c r="J589" t="s">
        <v>26</v>
      </c>
      <c r="K589" t="s">
        <v>12</v>
      </c>
    </row>
    <row r="590" spans="1:11" x14ac:dyDescent="0.25">
      <c r="A590" t="s">
        <v>731</v>
      </c>
      <c r="B590" t="s">
        <v>65</v>
      </c>
      <c r="C590" t="s">
        <v>732</v>
      </c>
      <c r="D590">
        <v>719409141</v>
      </c>
      <c r="E590" t="s">
        <v>18</v>
      </c>
      <c r="F590" s="1">
        <v>45355</v>
      </c>
      <c r="G590" t="s">
        <v>39</v>
      </c>
      <c r="H590" s="2">
        <v>1884.96</v>
      </c>
      <c r="I590" t="s">
        <v>444</v>
      </c>
      <c r="J590" t="s">
        <v>11</v>
      </c>
      <c r="K590" t="s">
        <v>12</v>
      </c>
    </row>
    <row r="591" spans="1:11" x14ac:dyDescent="0.25">
      <c r="A591" t="s">
        <v>1168</v>
      </c>
      <c r="B591" t="s">
        <v>74</v>
      </c>
      <c r="C591" t="s">
        <v>1169</v>
      </c>
      <c r="D591">
        <v>721034679</v>
      </c>
      <c r="E591" t="s">
        <v>9</v>
      </c>
      <c r="F591" s="1">
        <v>45361</v>
      </c>
      <c r="G591" t="s">
        <v>603</v>
      </c>
      <c r="H591" s="2">
        <v>591.91</v>
      </c>
      <c r="I591" t="s">
        <v>25</v>
      </c>
      <c r="J591" t="s">
        <v>22</v>
      </c>
      <c r="K591" t="s">
        <v>16</v>
      </c>
    </row>
    <row r="592" spans="1:11" x14ac:dyDescent="0.25">
      <c r="A592" t="s">
        <v>749</v>
      </c>
      <c r="B592" t="s">
        <v>750</v>
      </c>
      <c r="C592" t="s">
        <v>751</v>
      </c>
      <c r="D592">
        <v>703436635</v>
      </c>
      <c r="E592" t="s">
        <v>9</v>
      </c>
      <c r="F592" s="1">
        <v>45667</v>
      </c>
      <c r="G592" t="s">
        <v>506</v>
      </c>
      <c r="H592" s="2">
        <v>389.77</v>
      </c>
      <c r="I592" t="s">
        <v>25</v>
      </c>
      <c r="J592" t="s">
        <v>22</v>
      </c>
      <c r="K592" t="s">
        <v>12</v>
      </c>
    </row>
    <row r="593" spans="1:11" x14ac:dyDescent="0.25">
      <c r="A593" t="s">
        <v>1186</v>
      </c>
      <c r="B593" t="s">
        <v>378</v>
      </c>
      <c r="C593" t="s">
        <v>1187</v>
      </c>
      <c r="D593">
        <v>831528721</v>
      </c>
      <c r="E593" t="s">
        <v>9</v>
      </c>
      <c r="F593" s="1">
        <v>45432</v>
      </c>
      <c r="G593" t="s">
        <v>451</v>
      </c>
      <c r="H593" s="2">
        <v>1087.9100000000001</v>
      </c>
      <c r="I593" t="s">
        <v>25</v>
      </c>
      <c r="J593" t="s">
        <v>33</v>
      </c>
      <c r="K593" t="s">
        <v>12</v>
      </c>
    </row>
    <row r="594" spans="1:11" x14ac:dyDescent="0.25">
      <c r="A594" t="s">
        <v>1188</v>
      </c>
      <c r="B594" t="s">
        <v>189</v>
      </c>
      <c r="C594" t="s">
        <v>1189</v>
      </c>
      <c r="D594">
        <v>744534782</v>
      </c>
      <c r="E594" t="s">
        <v>9</v>
      </c>
      <c r="F594" s="1">
        <v>45632</v>
      </c>
      <c r="G594" t="s">
        <v>478</v>
      </c>
      <c r="H594" s="2">
        <v>310</v>
      </c>
      <c r="I594" t="s">
        <v>25</v>
      </c>
      <c r="J594" t="s">
        <v>33</v>
      </c>
      <c r="K594" t="s">
        <v>16</v>
      </c>
    </row>
    <row r="595" spans="1:11" x14ac:dyDescent="0.25">
      <c r="A595" t="s">
        <v>562</v>
      </c>
      <c r="B595" t="s">
        <v>356</v>
      </c>
      <c r="C595" t="s">
        <v>563</v>
      </c>
      <c r="D595">
        <v>747024959</v>
      </c>
      <c r="E595" t="s">
        <v>18</v>
      </c>
      <c r="F595" s="1">
        <v>45223</v>
      </c>
      <c r="G595" t="s">
        <v>32</v>
      </c>
      <c r="H595" s="2">
        <v>1355.41</v>
      </c>
      <c r="I595" t="s">
        <v>444</v>
      </c>
      <c r="J595" t="s">
        <v>11</v>
      </c>
      <c r="K595" t="s">
        <v>16</v>
      </c>
    </row>
    <row r="596" spans="1:11" x14ac:dyDescent="0.25">
      <c r="A596" t="s">
        <v>1190</v>
      </c>
      <c r="B596" t="s">
        <v>117</v>
      </c>
      <c r="C596" t="s">
        <v>1191</v>
      </c>
      <c r="D596">
        <v>716077636</v>
      </c>
      <c r="E596" t="s">
        <v>18</v>
      </c>
      <c r="F596" s="1">
        <v>45673</v>
      </c>
      <c r="G596" t="s">
        <v>624</v>
      </c>
      <c r="H596" s="2">
        <v>1213.33</v>
      </c>
      <c r="I596" t="s">
        <v>25</v>
      </c>
      <c r="J596" t="s">
        <v>26</v>
      </c>
      <c r="K596" t="s">
        <v>16</v>
      </c>
    </row>
    <row r="597" spans="1:11" x14ac:dyDescent="0.25">
      <c r="A597" t="s">
        <v>560</v>
      </c>
      <c r="B597" t="s">
        <v>71</v>
      </c>
      <c r="C597" t="s">
        <v>561</v>
      </c>
      <c r="D597">
        <v>747410141</v>
      </c>
      <c r="E597" t="s">
        <v>9</v>
      </c>
      <c r="F597" s="1">
        <v>45273</v>
      </c>
      <c r="G597" t="s">
        <v>418</v>
      </c>
      <c r="H597" s="2">
        <v>1128.5</v>
      </c>
      <c r="I597" t="s">
        <v>507</v>
      </c>
      <c r="J597" t="s">
        <v>22</v>
      </c>
      <c r="K597" t="s">
        <v>12</v>
      </c>
    </row>
    <row r="598" spans="1:11" x14ac:dyDescent="0.25">
      <c r="A598" t="s">
        <v>1192</v>
      </c>
      <c r="B598" t="s">
        <v>372</v>
      </c>
      <c r="C598" t="s">
        <v>1193</v>
      </c>
      <c r="D598">
        <v>722844692</v>
      </c>
      <c r="E598" t="s">
        <v>18</v>
      </c>
      <c r="F598" s="1">
        <v>45383</v>
      </c>
      <c r="G598" t="s">
        <v>478</v>
      </c>
      <c r="H598" s="2">
        <v>377.49</v>
      </c>
      <c r="I598" t="s">
        <v>444</v>
      </c>
      <c r="J598" t="s">
        <v>33</v>
      </c>
      <c r="K598" t="s">
        <v>12</v>
      </c>
    </row>
    <row r="599" spans="1:11" x14ac:dyDescent="0.25">
      <c r="A599" t="s">
        <v>486</v>
      </c>
      <c r="B599" t="s">
        <v>386</v>
      </c>
      <c r="C599" t="s">
        <v>487</v>
      </c>
      <c r="D599">
        <v>744875696</v>
      </c>
      <c r="E599" t="s">
        <v>13</v>
      </c>
      <c r="F599" s="1">
        <v>45892</v>
      </c>
      <c r="G599" t="s">
        <v>47</v>
      </c>
      <c r="H599" s="2">
        <v>777.48</v>
      </c>
      <c r="I599" t="s">
        <v>25</v>
      </c>
      <c r="J599" t="s">
        <v>22</v>
      </c>
      <c r="K599" t="s">
        <v>16</v>
      </c>
    </row>
    <row r="600" spans="1:11" x14ac:dyDescent="0.25">
      <c r="A600" t="s">
        <v>790</v>
      </c>
      <c r="B600" t="s">
        <v>153</v>
      </c>
      <c r="C600" t="s">
        <v>791</v>
      </c>
      <c r="D600">
        <v>705676062</v>
      </c>
      <c r="E600" t="s">
        <v>18</v>
      </c>
      <c r="F600" s="1">
        <v>45341</v>
      </c>
      <c r="G600" t="s">
        <v>19</v>
      </c>
      <c r="H600" s="2">
        <v>1110.67</v>
      </c>
      <c r="I600" t="s">
        <v>25</v>
      </c>
      <c r="J600" t="s">
        <v>11</v>
      </c>
      <c r="K600" t="s">
        <v>16</v>
      </c>
    </row>
    <row r="601" spans="1:11" x14ac:dyDescent="0.25">
      <c r="A601" t="s">
        <v>1178</v>
      </c>
      <c r="B601" t="s">
        <v>97</v>
      </c>
      <c r="C601" t="s">
        <v>1179</v>
      </c>
      <c r="D601">
        <v>742697581</v>
      </c>
      <c r="E601" t="s">
        <v>9</v>
      </c>
      <c r="F601" s="1">
        <v>45715</v>
      </c>
      <c r="G601" t="s">
        <v>440</v>
      </c>
      <c r="H601" s="2">
        <v>464.6</v>
      </c>
      <c r="I601" t="s">
        <v>25</v>
      </c>
      <c r="J601" t="s">
        <v>22</v>
      </c>
      <c r="K601" t="s">
        <v>16</v>
      </c>
    </row>
    <row r="602" spans="1:11" x14ac:dyDescent="0.25">
      <c r="A602" t="s">
        <v>847</v>
      </c>
      <c r="B602" t="s">
        <v>256</v>
      </c>
      <c r="C602" t="s">
        <v>848</v>
      </c>
      <c r="D602">
        <v>733233840</v>
      </c>
      <c r="E602" t="s">
        <v>9</v>
      </c>
      <c r="F602" s="1">
        <v>45389</v>
      </c>
      <c r="G602" t="s">
        <v>475</v>
      </c>
      <c r="H602" s="2">
        <v>1890.05</v>
      </c>
      <c r="I602" t="s">
        <v>25</v>
      </c>
      <c r="J602" t="s">
        <v>33</v>
      </c>
      <c r="K602" t="s">
        <v>12</v>
      </c>
    </row>
    <row r="603" spans="1:11" x14ac:dyDescent="0.25">
      <c r="A603" t="s">
        <v>1162</v>
      </c>
      <c r="B603" t="s">
        <v>381</v>
      </c>
      <c r="C603" t="s">
        <v>1163</v>
      </c>
      <c r="D603">
        <v>938130308</v>
      </c>
      <c r="E603" t="s">
        <v>18</v>
      </c>
      <c r="F603" s="1">
        <v>45718</v>
      </c>
      <c r="G603" t="s">
        <v>423</v>
      </c>
      <c r="H603" s="2">
        <v>1086.25</v>
      </c>
      <c r="I603" t="s">
        <v>507</v>
      </c>
      <c r="J603" t="s">
        <v>26</v>
      </c>
      <c r="K603" t="s">
        <v>12</v>
      </c>
    </row>
    <row r="604" spans="1:11" x14ac:dyDescent="0.25">
      <c r="A604" t="s">
        <v>597</v>
      </c>
      <c r="B604" t="s">
        <v>171</v>
      </c>
      <c r="C604" t="s">
        <v>598</v>
      </c>
      <c r="D604">
        <v>733027275</v>
      </c>
      <c r="E604" t="s">
        <v>18</v>
      </c>
      <c r="F604" s="1">
        <v>45385</v>
      </c>
      <c r="G604" t="s">
        <v>19</v>
      </c>
      <c r="H604" s="2">
        <v>1712.98</v>
      </c>
      <c r="I604" t="s">
        <v>25</v>
      </c>
      <c r="J604" t="s">
        <v>11</v>
      </c>
      <c r="K604" t="s">
        <v>12</v>
      </c>
    </row>
    <row r="605" spans="1:11" x14ac:dyDescent="0.25">
      <c r="A605" t="s">
        <v>856</v>
      </c>
      <c r="B605" t="s">
        <v>97</v>
      </c>
      <c r="C605" t="s">
        <v>857</v>
      </c>
      <c r="D605">
        <v>748297259</v>
      </c>
      <c r="E605" t="s">
        <v>9</v>
      </c>
      <c r="F605" s="1">
        <v>45512</v>
      </c>
      <c r="G605" t="s">
        <v>35</v>
      </c>
      <c r="H605" s="2">
        <v>355.16</v>
      </c>
      <c r="I605" t="s">
        <v>25</v>
      </c>
      <c r="J605" t="s">
        <v>22</v>
      </c>
      <c r="K605" t="s">
        <v>16</v>
      </c>
    </row>
    <row r="606" spans="1:11" x14ac:dyDescent="0.25">
      <c r="A606" t="s">
        <v>796</v>
      </c>
      <c r="B606" t="s">
        <v>20</v>
      </c>
      <c r="C606" t="s">
        <v>797</v>
      </c>
      <c r="D606">
        <v>741679878</v>
      </c>
      <c r="E606" t="s">
        <v>9</v>
      </c>
      <c r="F606" s="1">
        <v>45237</v>
      </c>
      <c r="G606" t="s">
        <v>440</v>
      </c>
      <c r="H606" s="2">
        <v>909.45</v>
      </c>
      <c r="I606" t="s">
        <v>25</v>
      </c>
      <c r="J606" t="s">
        <v>33</v>
      </c>
      <c r="K606" t="s">
        <v>16</v>
      </c>
    </row>
    <row r="607" spans="1:11" x14ac:dyDescent="0.25">
      <c r="A607" t="s">
        <v>1194</v>
      </c>
      <c r="B607" t="s">
        <v>279</v>
      </c>
      <c r="C607" t="s">
        <v>1195</v>
      </c>
      <c r="D607">
        <v>903467774</v>
      </c>
      <c r="E607" t="s">
        <v>9</v>
      </c>
      <c r="F607" s="1">
        <v>45543</v>
      </c>
      <c r="G607" t="s">
        <v>19</v>
      </c>
      <c r="H607" s="2">
        <v>68.459999999999994</v>
      </c>
      <c r="I607" t="s">
        <v>25</v>
      </c>
      <c r="J607" t="s">
        <v>11</v>
      </c>
      <c r="K607" t="s">
        <v>16</v>
      </c>
    </row>
    <row r="608" spans="1:11" x14ac:dyDescent="0.25">
      <c r="A608" t="s">
        <v>608</v>
      </c>
      <c r="B608" t="s">
        <v>255</v>
      </c>
      <c r="C608" t="s">
        <v>609</v>
      </c>
      <c r="D608">
        <v>728508171</v>
      </c>
      <c r="E608" t="s">
        <v>9</v>
      </c>
      <c r="F608" s="1">
        <v>45546</v>
      </c>
      <c r="G608" t="s">
        <v>10</v>
      </c>
      <c r="H608" s="2">
        <v>279.73</v>
      </c>
      <c r="I608" t="s">
        <v>25</v>
      </c>
      <c r="J608" t="s">
        <v>33</v>
      </c>
      <c r="K608" t="s">
        <v>12</v>
      </c>
    </row>
    <row r="609" spans="1:11" x14ac:dyDescent="0.25">
      <c r="A609" t="s">
        <v>447</v>
      </c>
      <c r="B609" t="s">
        <v>207</v>
      </c>
      <c r="C609" t="s">
        <v>448</v>
      </c>
      <c r="D609">
        <v>870185749</v>
      </c>
      <c r="E609" t="s">
        <v>9</v>
      </c>
      <c r="F609" s="1">
        <v>45499</v>
      </c>
      <c r="G609" t="s">
        <v>418</v>
      </c>
      <c r="H609" s="2">
        <v>1690.03</v>
      </c>
      <c r="I609" t="s">
        <v>25</v>
      </c>
      <c r="J609" t="s">
        <v>36</v>
      </c>
      <c r="K609" t="s">
        <v>12</v>
      </c>
    </row>
    <row r="610" spans="1:11" x14ac:dyDescent="0.25">
      <c r="A610" t="s">
        <v>1196</v>
      </c>
      <c r="B610" t="s">
        <v>268</v>
      </c>
      <c r="C610" t="s">
        <v>1197</v>
      </c>
      <c r="D610">
        <v>706232765</v>
      </c>
      <c r="E610" t="s">
        <v>9</v>
      </c>
      <c r="F610" s="1">
        <v>45292</v>
      </c>
      <c r="G610" t="s">
        <v>415</v>
      </c>
      <c r="H610" s="2">
        <v>1179.93</v>
      </c>
      <c r="I610" t="s">
        <v>25</v>
      </c>
      <c r="J610" t="s">
        <v>22</v>
      </c>
      <c r="K610" t="s">
        <v>16</v>
      </c>
    </row>
    <row r="611" spans="1:11" x14ac:dyDescent="0.25">
      <c r="A611" t="s">
        <v>508</v>
      </c>
      <c r="B611" t="s">
        <v>203</v>
      </c>
      <c r="C611" t="s">
        <v>509</v>
      </c>
      <c r="D611">
        <v>628214825</v>
      </c>
      <c r="E611" t="s">
        <v>9</v>
      </c>
      <c r="F611" s="1">
        <v>45415</v>
      </c>
      <c r="G611" t="s">
        <v>10</v>
      </c>
      <c r="H611" s="2">
        <v>1731.12</v>
      </c>
      <c r="I611" t="s">
        <v>25</v>
      </c>
      <c r="J611" t="s">
        <v>26</v>
      </c>
      <c r="K611" t="s">
        <v>16</v>
      </c>
    </row>
    <row r="612" spans="1:11" x14ac:dyDescent="0.25">
      <c r="A612" t="s">
        <v>1036</v>
      </c>
      <c r="B612" t="s">
        <v>193</v>
      </c>
      <c r="C612" t="s">
        <v>1037</v>
      </c>
      <c r="D612">
        <v>716805697</v>
      </c>
      <c r="E612" t="s">
        <v>9</v>
      </c>
      <c r="F612" s="1">
        <v>45524</v>
      </c>
      <c r="G612" t="s">
        <v>21</v>
      </c>
      <c r="H612" s="2">
        <v>1268.05</v>
      </c>
      <c r="I612" t="s">
        <v>25</v>
      </c>
      <c r="J612" t="s">
        <v>11</v>
      </c>
      <c r="K612" t="s">
        <v>16</v>
      </c>
    </row>
    <row r="613" spans="1:11" x14ac:dyDescent="0.25">
      <c r="A613" t="s">
        <v>1098</v>
      </c>
      <c r="B613" t="s">
        <v>341</v>
      </c>
      <c r="C613" t="s">
        <v>1099</v>
      </c>
      <c r="D613">
        <v>722196891</v>
      </c>
      <c r="E613" t="s">
        <v>13</v>
      </c>
      <c r="F613" s="1">
        <v>45300</v>
      </c>
      <c r="G613" t="s">
        <v>475</v>
      </c>
      <c r="H613" s="2">
        <v>1764.13</v>
      </c>
      <c r="I613" t="s">
        <v>25</v>
      </c>
      <c r="J613" t="s">
        <v>22</v>
      </c>
      <c r="K613" t="s">
        <v>16</v>
      </c>
    </row>
    <row r="614" spans="1:11" x14ac:dyDescent="0.25">
      <c r="A614" t="s">
        <v>1080</v>
      </c>
      <c r="B614" t="s">
        <v>379</v>
      </c>
      <c r="C614" t="s">
        <v>1081</v>
      </c>
      <c r="D614">
        <v>615926523</v>
      </c>
      <c r="E614" t="s">
        <v>9</v>
      </c>
      <c r="F614" s="1">
        <v>45747</v>
      </c>
      <c r="G614" t="s">
        <v>478</v>
      </c>
      <c r="H614" s="2">
        <v>446.18</v>
      </c>
      <c r="I614" t="s">
        <v>25</v>
      </c>
      <c r="J614" t="s">
        <v>22</v>
      </c>
      <c r="K614" t="s">
        <v>12</v>
      </c>
    </row>
    <row r="615" spans="1:11" x14ac:dyDescent="0.25">
      <c r="A615" t="s">
        <v>709</v>
      </c>
      <c r="B615" t="s">
        <v>57</v>
      </c>
      <c r="C615" t="s">
        <v>710</v>
      </c>
      <c r="D615">
        <v>744459838</v>
      </c>
      <c r="E615" t="s">
        <v>9</v>
      </c>
      <c r="F615" s="1">
        <v>45689</v>
      </c>
      <c r="G615" t="s">
        <v>443</v>
      </c>
      <c r="H615" s="2">
        <v>1061.6600000000001</v>
      </c>
      <c r="I615" t="s">
        <v>25</v>
      </c>
      <c r="J615" t="s">
        <v>11</v>
      </c>
      <c r="K615" t="s">
        <v>16</v>
      </c>
    </row>
    <row r="616" spans="1:11" x14ac:dyDescent="0.25">
      <c r="A616" t="s">
        <v>1198</v>
      </c>
      <c r="B616" t="s">
        <v>1199</v>
      </c>
      <c r="C616" t="s">
        <v>1200</v>
      </c>
      <c r="D616">
        <v>927530563</v>
      </c>
      <c r="E616" t="s">
        <v>9</v>
      </c>
      <c r="F616" s="1">
        <v>45884</v>
      </c>
      <c r="G616" t="s">
        <v>440</v>
      </c>
      <c r="H616" s="2">
        <v>1698.78</v>
      </c>
      <c r="I616" t="s">
        <v>25</v>
      </c>
      <c r="J616" t="s">
        <v>26</v>
      </c>
      <c r="K616" t="s">
        <v>12</v>
      </c>
    </row>
    <row r="617" spans="1:11" x14ac:dyDescent="0.25">
      <c r="A617" t="s">
        <v>566</v>
      </c>
      <c r="B617" t="s">
        <v>321</v>
      </c>
      <c r="C617" t="s">
        <v>567</v>
      </c>
      <c r="D617">
        <v>701055024</v>
      </c>
      <c r="E617" t="s">
        <v>9</v>
      </c>
      <c r="F617" s="1">
        <v>45834</v>
      </c>
      <c r="G617" t="s">
        <v>518</v>
      </c>
      <c r="H617" s="2">
        <v>1074.6199999999999</v>
      </c>
      <c r="I617" t="s">
        <v>25</v>
      </c>
      <c r="J617" t="s">
        <v>22</v>
      </c>
      <c r="K617" t="s">
        <v>16</v>
      </c>
    </row>
    <row r="618" spans="1:11" x14ac:dyDescent="0.25">
      <c r="A618" t="s">
        <v>482</v>
      </c>
      <c r="B618" t="s">
        <v>66</v>
      </c>
      <c r="C618" t="s">
        <v>483</v>
      </c>
      <c r="D618">
        <v>951987392</v>
      </c>
      <c r="E618" t="s">
        <v>9</v>
      </c>
      <c r="F618" s="1">
        <v>45279</v>
      </c>
      <c r="G618" t="s">
        <v>440</v>
      </c>
      <c r="H618" s="2">
        <v>382.35</v>
      </c>
      <c r="I618" t="s">
        <v>25</v>
      </c>
      <c r="J618" t="s">
        <v>22</v>
      </c>
      <c r="K618" t="s">
        <v>12</v>
      </c>
    </row>
    <row r="619" spans="1:11" x14ac:dyDescent="0.25">
      <c r="A619" t="s">
        <v>1201</v>
      </c>
      <c r="B619" t="s">
        <v>280</v>
      </c>
      <c r="C619" t="s">
        <v>1202</v>
      </c>
      <c r="D619">
        <v>639659594</v>
      </c>
      <c r="E619" t="s">
        <v>9</v>
      </c>
      <c r="F619" s="1">
        <v>45861</v>
      </c>
      <c r="G619" t="s">
        <v>478</v>
      </c>
      <c r="H619" s="2">
        <v>1280.2</v>
      </c>
      <c r="I619" t="s">
        <v>25</v>
      </c>
      <c r="J619" t="s">
        <v>26</v>
      </c>
      <c r="K619" t="s">
        <v>12</v>
      </c>
    </row>
    <row r="620" spans="1:11" x14ac:dyDescent="0.25">
      <c r="A620" t="s">
        <v>653</v>
      </c>
      <c r="B620" t="s">
        <v>654</v>
      </c>
      <c r="C620" t="s">
        <v>655</v>
      </c>
      <c r="D620">
        <v>719370887</v>
      </c>
      <c r="E620" t="s">
        <v>18</v>
      </c>
      <c r="F620" s="1">
        <v>45729</v>
      </c>
      <c r="G620" t="s">
        <v>475</v>
      </c>
      <c r="H620" s="2">
        <v>653</v>
      </c>
      <c r="I620" t="s">
        <v>25</v>
      </c>
      <c r="J620" t="s">
        <v>26</v>
      </c>
      <c r="K620" t="s">
        <v>12</v>
      </c>
    </row>
    <row r="621" spans="1:11" x14ac:dyDescent="0.25">
      <c r="A621" t="s">
        <v>1203</v>
      </c>
      <c r="B621" t="s">
        <v>387</v>
      </c>
      <c r="C621" t="s">
        <v>1204</v>
      </c>
      <c r="D621">
        <v>989146343</v>
      </c>
      <c r="E621" t="s">
        <v>18</v>
      </c>
      <c r="F621" s="1">
        <v>45905</v>
      </c>
      <c r="G621" t="s">
        <v>47</v>
      </c>
      <c r="H621" s="2">
        <v>1323.78</v>
      </c>
      <c r="I621" t="s">
        <v>25</v>
      </c>
      <c r="J621" t="s">
        <v>11</v>
      </c>
      <c r="K621" t="s">
        <v>16</v>
      </c>
    </row>
    <row r="622" spans="1:11" x14ac:dyDescent="0.25">
      <c r="A622" t="s">
        <v>1168</v>
      </c>
      <c r="B622" t="s">
        <v>74</v>
      </c>
      <c r="C622" t="s">
        <v>1169</v>
      </c>
      <c r="D622">
        <v>721034679</v>
      </c>
      <c r="E622" t="s">
        <v>9</v>
      </c>
      <c r="F622" s="1">
        <v>45805</v>
      </c>
      <c r="G622" t="s">
        <v>603</v>
      </c>
      <c r="H622" s="2">
        <v>1314.51</v>
      </c>
      <c r="I622" t="s">
        <v>25</v>
      </c>
      <c r="J622" t="s">
        <v>15</v>
      </c>
      <c r="K622" t="s">
        <v>16</v>
      </c>
    </row>
    <row r="623" spans="1:11" x14ac:dyDescent="0.25">
      <c r="A623" t="s">
        <v>1205</v>
      </c>
      <c r="B623" t="s">
        <v>56</v>
      </c>
      <c r="C623" t="s">
        <v>1206</v>
      </c>
      <c r="D623">
        <v>726225372</v>
      </c>
      <c r="E623" t="s">
        <v>9</v>
      </c>
      <c r="F623" s="1">
        <v>45609</v>
      </c>
      <c r="G623" t="s">
        <v>24</v>
      </c>
      <c r="H623" s="2">
        <v>1386.66</v>
      </c>
      <c r="I623" t="s">
        <v>507</v>
      </c>
      <c r="J623" t="s">
        <v>33</v>
      </c>
      <c r="K623" t="s">
        <v>16</v>
      </c>
    </row>
    <row r="624" spans="1:11" x14ac:dyDescent="0.25">
      <c r="A624" t="s">
        <v>830</v>
      </c>
      <c r="B624" t="s">
        <v>831</v>
      </c>
      <c r="C624" t="s">
        <v>832</v>
      </c>
      <c r="D624">
        <v>731359620</v>
      </c>
      <c r="E624" t="s">
        <v>18</v>
      </c>
      <c r="F624" s="1">
        <v>45615</v>
      </c>
      <c r="G624" t="s">
        <v>443</v>
      </c>
      <c r="H624" s="2">
        <v>1107.55</v>
      </c>
      <c r="I624" t="s">
        <v>507</v>
      </c>
      <c r="J624" t="s">
        <v>11</v>
      </c>
      <c r="K624" t="s">
        <v>16</v>
      </c>
    </row>
    <row r="625" spans="1:11" x14ac:dyDescent="0.25">
      <c r="A625" t="s">
        <v>1207</v>
      </c>
      <c r="B625" t="s">
        <v>243</v>
      </c>
      <c r="C625" t="s">
        <v>1208</v>
      </c>
      <c r="D625">
        <v>809355979</v>
      </c>
      <c r="E625" t="s">
        <v>9</v>
      </c>
      <c r="F625" s="1">
        <v>45608</v>
      </c>
      <c r="G625" t="s">
        <v>14</v>
      </c>
      <c r="H625" s="2">
        <v>226.75</v>
      </c>
      <c r="I625" t="s">
        <v>25</v>
      </c>
      <c r="J625" t="s">
        <v>33</v>
      </c>
      <c r="K625" t="s">
        <v>12</v>
      </c>
    </row>
    <row r="626" spans="1:11" x14ac:dyDescent="0.25">
      <c r="A626" t="s">
        <v>934</v>
      </c>
      <c r="B626" t="s">
        <v>935</v>
      </c>
      <c r="C626" t="s">
        <v>936</v>
      </c>
      <c r="D626">
        <v>744201404</v>
      </c>
      <c r="E626" t="s">
        <v>9</v>
      </c>
      <c r="F626" s="1">
        <v>45468</v>
      </c>
      <c r="G626" t="s">
        <v>29</v>
      </c>
      <c r="H626" s="2">
        <v>481.51</v>
      </c>
      <c r="I626" t="s">
        <v>444</v>
      </c>
      <c r="J626" t="s">
        <v>33</v>
      </c>
      <c r="K626" t="s">
        <v>12</v>
      </c>
    </row>
    <row r="627" spans="1:11" x14ac:dyDescent="0.25">
      <c r="A627" t="s">
        <v>1110</v>
      </c>
      <c r="B627" t="s">
        <v>166</v>
      </c>
      <c r="C627" t="s">
        <v>1111</v>
      </c>
      <c r="D627">
        <v>723768512</v>
      </c>
      <c r="E627" t="s">
        <v>9</v>
      </c>
      <c r="F627" s="1">
        <v>45350</v>
      </c>
      <c r="G627" t="s">
        <v>32</v>
      </c>
      <c r="H627" s="2">
        <v>1897.25</v>
      </c>
      <c r="I627" t="s">
        <v>444</v>
      </c>
      <c r="J627" t="s">
        <v>11</v>
      </c>
      <c r="K627" t="s">
        <v>16</v>
      </c>
    </row>
    <row r="628" spans="1:11" x14ac:dyDescent="0.25">
      <c r="A628" t="s">
        <v>1006</v>
      </c>
      <c r="B628" t="s">
        <v>143</v>
      </c>
      <c r="C628" t="s">
        <v>1007</v>
      </c>
      <c r="D628">
        <v>892885525</v>
      </c>
      <c r="E628" t="s">
        <v>18</v>
      </c>
      <c r="F628" s="1">
        <v>45256</v>
      </c>
      <c r="G628" t="s">
        <v>47</v>
      </c>
      <c r="H628" s="2">
        <v>373.48</v>
      </c>
      <c r="I628" t="s">
        <v>25</v>
      </c>
      <c r="J628" t="s">
        <v>22</v>
      </c>
      <c r="K628" t="s">
        <v>16</v>
      </c>
    </row>
    <row r="629" spans="1:11" x14ac:dyDescent="0.25">
      <c r="A629" t="s">
        <v>416</v>
      </c>
      <c r="B629" t="s">
        <v>145</v>
      </c>
      <c r="C629" t="s">
        <v>417</v>
      </c>
      <c r="D629">
        <v>714510122</v>
      </c>
      <c r="E629" t="s">
        <v>9</v>
      </c>
      <c r="F629" s="1">
        <v>45313</v>
      </c>
      <c r="G629" t="s">
        <v>418</v>
      </c>
      <c r="H629" s="2">
        <v>643.91999999999996</v>
      </c>
      <c r="I629" t="s">
        <v>507</v>
      </c>
      <c r="J629" t="s">
        <v>33</v>
      </c>
      <c r="K629" t="s">
        <v>16</v>
      </c>
    </row>
    <row r="630" spans="1:11" x14ac:dyDescent="0.25">
      <c r="A630" t="s">
        <v>877</v>
      </c>
      <c r="B630" t="s">
        <v>287</v>
      </c>
      <c r="C630" t="s">
        <v>878</v>
      </c>
      <c r="D630">
        <v>704650325</v>
      </c>
      <c r="E630" t="s">
        <v>13</v>
      </c>
      <c r="F630" s="1">
        <v>45505</v>
      </c>
      <c r="G630" t="s">
        <v>35</v>
      </c>
      <c r="H630" s="2">
        <v>1981.24</v>
      </c>
      <c r="I630" t="s">
        <v>444</v>
      </c>
      <c r="J630" t="s">
        <v>36</v>
      </c>
      <c r="K630" t="s">
        <v>12</v>
      </c>
    </row>
    <row r="631" spans="1:11" x14ac:dyDescent="0.25">
      <c r="A631" t="s">
        <v>629</v>
      </c>
      <c r="B631" t="s">
        <v>62</v>
      </c>
      <c r="C631" t="s">
        <v>630</v>
      </c>
      <c r="D631">
        <v>649943369</v>
      </c>
      <c r="E631" t="s">
        <v>18</v>
      </c>
      <c r="F631" s="1">
        <v>45802</v>
      </c>
      <c r="G631" t="s">
        <v>21</v>
      </c>
      <c r="H631" s="2">
        <v>624.19000000000005</v>
      </c>
      <c r="I631" t="s">
        <v>25</v>
      </c>
      <c r="J631" t="s">
        <v>36</v>
      </c>
      <c r="K631" t="s">
        <v>16</v>
      </c>
    </row>
    <row r="632" spans="1:11" x14ac:dyDescent="0.25">
      <c r="A632" t="s">
        <v>1209</v>
      </c>
      <c r="B632" t="s">
        <v>363</v>
      </c>
      <c r="C632" t="s">
        <v>1210</v>
      </c>
      <c r="D632">
        <v>740184253</v>
      </c>
      <c r="E632" t="s">
        <v>13</v>
      </c>
      <c r="F632" s="1">
        <v>45787</v>
      </c>
      <c r="G632" t="s">
        <v>506</v>
      </c>
      <c r="H632" s="2">
        <v>1159.29</v>
      </c>
      <c r="I632" t="s">
        <v>25</v>
      </c>
      <c r="J632" t="s">
        <v>11</v>
      </c>
      <c r="K632" t="s">
        <v>16</v>
      </c>
    </row>
    <row r="633" spans="1:11" x14ac:dyDescent="0.25">
      <c r="A633" t="s">
        <v>1211</v>
      </c>
      <c r="B633" t="s">
        <v>92</v>
      </c>
      <c r="C633" t="s">
        <v>1212</v>
      </c>
      <c r="D633">
        <v>728952399</v>
      </c>
      <c r="E633" t="s">
        <v>9</v>
      </c>
      <c r="F633" s="1">
        <v>45875</v>
      </c>
      <c r="G633" t="s">
        <v>10</v>
      </c>
      <c r="H633" s="2">
        <v>1193.68</v>
      </c>
      <c r="I633" t="s">
        <v>25</v>
      </c>
      <c r="J633" t="s">
        <v>33</v>
      </c>
      <c r="K633" t="s">
        <v>16</v>
      </c>
    </row>
    <row r="634" spans="1:11" x14ac:dyDescent="0.25">
      <c r="A634" t="s">
        <v>1032</v>
      </c>
      <c r="B634" t="s">
        <v>382</v>
      </c>
      <c r="C634" t="s">
        <v>1033</v>
      </c>
      <c r="D634">
        <v>869663629</v>
      </c>
      <c r="E634" t="s">
        <v>9</v>
      </c>
      <c r="F634" s="1">
        <v>45315</v>
      </c>
      <c r="G634" t="s">
        <v>518</v>
      </c>
      <c r="H634" s="2">
        <v>866.9</v>
      </c>
      <c r="I634" t="s">
        <v>25</v>
      </c>
      <c r="J634" t="s">
        <v>26</v>
      </c>
      <c r="K634" t="s">
        <v>12</v>
      </c>
    </row>
    <row r="635" spans="1:11" x14ac:dyDescent="0.25">
      <c r="A635" t="s">
        <v>1213</v>
      </c>
      <c r="B635" t="s">
        <v>284</v>
      </c>
      <c r="C635" t="s">
        <v>1214</v>
      </c>
      <c r="D635">
        <v>701336805</v>
      </c>
      <c r="E635" t="s">
        <v>18</v>
      </c>
      <c r="F635" s="1">
        <v>45321</v>
      </c>
      <c r="G635" t="s">
        <v>21</v>
      </c>
      <c r="H635" s="2">
        <v>860.3</v>
      </c>
      <c r="I635" t="s">
        <v>25</v>
      </c>
      <c r="J635" t="s">
        <v>11</v>
      </c>
      <c r="K635" t="s">
        <v>16</v>
      </c>
    </row>
    <row r="636" spans="1:11" x14ac:dyDescent="0.25">
      <c r="A636" t="s">
        <v>845</v>
      </c>
      <c r="B636" t="s">
        <v>174</v>
      </c>
      <c r="C636" t="s">
        <v>846</v>
      </c>
      <c r="D636">
        <v>739067408</v>
      </c>
      <c r="E636" t="s">
        <v>9</v>
      </c>
      <c r="F636" s="1">
        <v>45707</v>
      </c>
      <c r="G636" t="s">
        <v>460</v>
      </c>
      <c r="H636" s="2">
        <v>1718.12</v>
      </c>
      <c r="I636" t="s">
        <v>25</v>
      </c>
      <c r="J636" t="s">
        <v>22</v>
      </c>
      <c r="K636" t="s">
        <v>16</v>
      </c>
    </row>
    <row r="637" spans="1:11" x14ac:dyDescent="0.25">
      <c r="A637" t="s">
        <v>666</v>
      </c>
      <c r="B637" t="s">
        <v>667</v>
      </c>
      <c r="C637" t="s">
        <v>668</v>
      </c>
      <c r="D637">
        <v>608275218</v>
      </c>
      <c r="E637" t="s">
        <v>9</v>
      </c>
      <c r="F637" s="1">
        <v>45579</v>
      </c>
      <c r="G637" t="s">
        <v>35</v>
      </c>
      <c r="H637" s="2">
        <v>97.84</v>
      </c>
      <c r="I637" t="s">
        <v>25</v>
      </c>
      <c r="J637" t="s">
        <v>22</v>
      </c>
      <c r="K637" t="s">
        <v>16</v>
      </c>
    </row>
    <row r="638" spans="1:11" x14ac:dyDescent="0.25">
      <c r="A638" t="s">
        <v>1215</v>
      </c>
      <c r="B638" t="s">
        <v>1216</v>
      </c>
      <c r="C638" t="s">
        <v>1217</v>
      </c>
      <c r="D638">
        <v>870444420</v>
      </c>
      <c r="E638" t="s">
        <v>9</v>
      </c>
      <c r="F638" s="1">
        <v>45842</v>
      </c>
      <c r="G638" t="s">
        <v>14</v>
      </c>
      <c r="H638" s="2">
        <v>1876.07</v>
      </c>
      <c r="I638" t="s">
        <v>25</v>
      </c>
      <c r="J638" t="s">
        <v>33</v>
      </c>
      <c r="K638" t="s">
        <v>16</v>
      </c>
    </row>
    <row r="639" spans="1:11" x14ac:dyDescent="0.25">
      <c r="A639" t="s">
        <v>463</v>
      </c>
      <c r="B639" t="s">
        <v>195</v>
      </c>
      <c r="C639" t="s">
        <v>464</v>
      </c>
      <c r="D639">
        <v>722994048</v>
      </c>
      <c r="E639" t="s">
        <v>9</v>
      </c>
      <c r="F639" s="1">
        <v>45431</v>
      </c>
      <c r="G639" t="s">
        <v>440</v>
      </c>
      <c r="H639" s="2">
        <v>495.59</v>
      </c>
      <c r="I639" t="s">
        <v>25</v>
      </c>
      <c r="J639" t="s">
        <v>11</v>
      </c>
      <c r="K639" t="s">
        <v>16</v>
      </c>
    </row>
    <row r="640" spans="1:11" x14ac:dyDescent="0.25">
      <c r="A640" t="s">
        <v>1218</v>
      </c>
      <c r="B640" t="s">
        <v>126</v>
      </c>
      <c r="C640" t="s">
        <v>1219</v>
      </c>
      <c r="D640">
        <v>746241600</v>
      </c>
      <c r="E640" t="s">
        <v>9</v>
      </c>
      <c r="F640" s="1">
        <v>45678</v>
      </c>
      <c r="G640" t="s">
        <v>21</v>
      </c>
      <c r="H640" s="2">
        <v>1176.6199999999999</v>
      </c>
      <c r="I640" t="s">
        <v>25</v>
      </c>
      <c r="J640" t="s">
        <v>22</v>
      </c>
      <c r="K640" t="s">
        <v>16</v>
      </c>
    </row>
    <row r="641" spans="1:11" x14ac:dyDescent="0.25">
      <c r="A641" t="s">
        <v>573</v>
      </c>
      <c r="B641" t="s">
        <v>42</v>
      </c>
      <c r="C641" t="s">
        <v>574</v>
      </c>
      <c r="D641">
        <v>737130420</v>
      </c>
      <c r="E641" t="s">
        <v>9</v>
      </c>
      <c r="F641" s="1">
        <v>45770</v>
      </c>
      <c r="G641" t="s">
        <v>32</v>
      </c>
      <c r="H641" s="2">
        <v>1849.08</v>
      </c>
      <c r="I641" t="s">
        <v>507</v>
      </c>
      <c r="J641" t="s">
        <v>36</v>
      </c>
      <c r="K641" t="s">
        <v>16</v>
      </c>
    </row>
    <row r="642" spans="1:11" x14ac:dyDescent="0.25">
      <c r="A642" t="s">
        <v>557</v>
      </c>
      <c r="B642" t="s">
        <v>558</v>
      </c>
      <c r="C642" t="s">
        <v>559</v>
      </c>
      <c r="D642">
        <v>719919620</v>
      </c>
      <c r="E642" t="s">
        <v>9</v>
      </c>
      <c r="F642" s="1">
        <v>45804</v>
      </c>
      <c r="G642" t="s">
        <v>478</v>
      </c>
      <c r="H642" s="2">
        <v>1866.75</v>
      </c>
      <c r="I642" t="s">
        <v>25</v>
      </c>
      <c r="J642" t="s">
        <v>22</v>
      </c>
      <c r="K642" t="s">
        <v>12</v>
      </c>
    </row>
    <row r="643" spans="1:11" x14ac:dyDescent="0.25">
      <c r="A643" t="s">
        <v>1220</v>
      </c>
      <c r="B643" t="s">
        <v>294</v>
      </c>
      <c r="C643" t="s">
        <v>1221</v>
      </c>
      <c r="D643">
        <v>731230632</v>
      </c>
      <c r="E643" t="s">
        <v>9</v>
      </c>
      <c r="F643" s="1">
        <v>45213</v>
      </c>
      <c r="G643" t="s">
        <v>475</v>
      </c>
      <c r="H643" s="2">
        <v>933.55</v>
      </c>
      <c r="I643" t="s">
        <v>25</v>
      </c>
      <c r="J643" t="s">
        <v>33</v>
      </c>
      <c r="K643" t="s">
        <v>12</v>
      </c>
    </row>
    <row r="644" spans="1:11" x14ac:dyDescent="0.25">
      <c r="A644" t="s">
        <v>500</v>
      </c>
      <c r="B644" t="s">
        <v>158</v>
      </c>
      <c r="C644" t="s">
        <v>501</v>
      </c>
      <c r="D644">
        <v>700258650</v>
      </c>
      <c r="E644" t="s">
        <v>9</v>
      </c>
      <c r="F644" s="1">
        <v>45398</v>
      </c>
      <c r="G644" t="s">
        <v>412</v>
      </c>
      <c r="H644" s="2">
        <v>95.9</v>
      </c>
      <c r="I644" t="s">
        <v>25</v>
      </c>
      <c r="J644" t="s">
        <v>26</v>
      </c>
      <c r="K644" t="s">
        <v>16</v>
      </c>
    </row>
    <row r="645" spans="1:11" x14ac:dyDescent="0.25">
      <c r="A645" t="s">
        <v>531</v>
      </c>
      <c r="B645" t="s">
        <v>101</v>
      </c>
      <c r="C645" t="s">
        <v>532</v>
      </c>
      <c r="D645">
        <v>859966448</v>
      </c>
      <c r="E645" t="s">
        <v>18</v>
      </c>
      <c r="F645" s="1">
        <v>45427</v>
      </c>
      <c r="G645" t="s">
        <v>35</v>
      </c>
      <c r="H645" s="2">
        <v>188.41</v>
      </c>
      <c r="I645" t="s">
        <v>25</v>
      </c>
      <c r="J645" t="s">
        <v>11</v>
      </c>
      <c r="K645" t="s">
        <v>16</v>
      </c>
    </row>
    <row r="646" spans="1:11" x14ac:dyDescent="0.25">
      <c r="A646" t="s">
        <v>928</v>
      </c>
      <c r="B646" t="s">
        <v>141</v>
      </c>
      <c r="C646" t="s">
        <v>929</v>
      </c>
      <c r="D646">
        <v>737596279</v>
      </c>
      <c r="E646" t="s">
        <v>9</v>
      </c>
      <c r="F646" s="1">
        <v>45247</v>
      </c>
      <c r="G646" t="s">
        <v>603</v>
      </c>
      <c r="H646" s="2">
        <v>763.03</v>
      </c>
      <c r="I646" t="s">
        <v>444</v>
      </c>
      <c r="J646" t="s">
        <v>36</v>
      </c>
      <c r="K646" t="s">
        <v>12</v>
      </c>
    </row>
    <row r="647" spans="1:11" x14ac:dyDescent="0.25">
      <c r="A647" t="s">
        <v>739</v>
      </c>
      <c r="B647" t="s">
        <v>147</v>
      </c>
      <c r="C647" t="s">
        <v>740</v>
      </c>
      <c r="D647">
        <v>732688394</v>
      </c>
      <c r="E647" t="s">
        <v>9</v>
      </c>
      <c r="F647" s="1">
        <v>45219</v>
      </c>
      <c r="G647" t="s">
        <v>10</v>
      </c>
      <c r="H647" s="2">
        <v>728.03</v>
      </c>
      <c r="I647" t="s">
        <v>25</v>
      </c>
      <c r="J647" t="s">
        <v>11</v>
      </c>
      <c r="K647" t="s">
        <v>16</v>
      </c>
    </row>
    <row r="648" spans="1:11" x14ac:dyDescent="0.25">
      <c r="A648" t="s">
        <v>1000</v>
      </c>
      <c r="B648" t="s">
        <v>240</v>
      </c>
      <c r="C648" t="s">
        <v>1001</v>
      </c>
      <c r="D648">
        <v>905498813</v>
      </c>
      <c r="E648" t="s">
        <v>9</v>
      </c>
      <c r="F648" s="1">
        <v>45791</v>
      </c>
      <c r="G648" t="s">
        <v>29</v>
      </c>
      <c r="H648" s="2">
        <v>520.87</v>
      </c>
      <c r="I648" t="s">
        <v>25</v>
      </c>
      <c r="J648" t="s">
        <v>22</v>
      </c>
      <c r="K648" t="s">
        <v>16</v>
      </c>
    </row>
    <row r="649" spans="1:11" x14ac:dyDescent="0.25">
      <c r="A649" t="s">
        <v>1222</v>
      </c>
      <c r="B649" t="s">
        <v>399</v>
      </c>
      <c r="C649" t="s">
        <v>1223</v>
      </c>
      <c r="D649">
        <v>639108490</v>
      </c>
      <c r="E649" t="s">
        <v>9</v>
      </c>
      <c r="F649" s="1">
        <v>45514</v>
      </c>
      <c r="G649" t="s">
        <v>506</v>
      </c>
      <c r="H649" s="2">
        <v>1927.23</v>
      </c>
      <c r="I649" t="s">
        <v>25</v>
      </c>
      <c r="J649" t="s">
        <v>15</v>
      </c>
      <c r="K649" t="s">
        <v>12</v>
      </c>
    </row>
    <row r="650" spans="1:11" x14ac:dyDescent="0.25">
      <c r="A650" t="s">
        <v>875</v>
      </c>
      <c r="B650" t="s">
        <v>97</v>
      </c>
      <c r="C650" t="s">
        <v>876</v>
      </c>
      <c r="D650">
        <v>621081475</v>
      </c>
      <c r="E650" t="s">
        <v>18</v>
      </c>
      <c r="F650" s="1">
        <v>45815</v>
      </c>
      <c r="G650" t="s">
        <v>21</v>
      </c>
      <c r="H650" s="2">
        <v>1617.33</v>
      </c>
      <c r="I650" t="s">
        <v>25</v>
      </c>
      <c r="J650" t="s">
        <v>33</v>
      </c>
      <c r="K650" t="s">
        <v>12</v>
      </c>
    </row>
    <row r="651" spans="1:11" x14ac:dyDescent="0.25">
      <c r="A651" t="s">
        <v>1213</v>
      </c>
      <c r="B651" t="s">
        <v>284</v>
      </c>
      <c r="C651" t="s">
        <v>1214</v>
      </c>
      <c r="D651">
        <v>701336805</v>
      </c>
      <c r="E651" t="s">
        <v>18</v>
      </c>
      <c r="F651" s="1">
        <v>45461</v>
      </c>
      <c r="G651" t="s">
        <v>21</v>
      </c>
      <c r="H651" s="2">
        <v>1809.51</v>
      </c>
      <c r="I651" t="s">
        <v>25</v>
      </c>
      <c r="J651" t="s">
        <v>36</v>
      </c>
      <c r="K651" t="s">
        <v>16</v>
      </c>
    </row>
    <row r="652" spans="1:11" x14ac:dyDescent="0.25">
      <c r="A652" t="s">
        <v>1036</v>
      </c>
      <c r="B652" t="s">
        <v>193</v>
      </c>
      <c r="C652" t="s">
        <v>1037</v>
      </c>
      <c r="D652">
        <v>716805697</v>
      </c>
      <c r="E652" t="s">
        <v>9</v>
      </c>
      <c r="F652" s="1">
        <v>45512</v>
      </c>
      <c r="G652" t="s">
        <v>21</v>
      </c>
      <c r="H652" s="2">
        <v>1402.54</v>
      </c>
      <c r="I652" t="s">
        <v>25</v>
      </c>
      <c r="J652" t="s">
        <v>22</v>
      </c>
      <c r="K652" t="s">
        <v>16</v>
      </c>
    </row>
    <row r="653" spans="1:11" x14ac:dyDescent="0.25">
      <c r="A653" t="s">
        <v>727</v>
      </c>
      <c r="B653" t="s">
        <v>365</v>
      </c>
      <c r="C653" t="s">
        <v>728</v>
      </c>
      <c r="D653">
        <v>720179790</v>
      </c>
      <c r="E653" t="s">
        <v>9</v>
      </c>
      <c r="F653" s="1">
        <v>45771</v>
      </c>
      <c r="G653" t="s">
        <v>443</v>
      </c>
      <c r="H653" s="2">
        <v>898.28</v>
      </c>
      <c r="I653" t="s">
        <v>25</v>
      </c>
      <c r="J653" t="s">
        <v>22</v>
      </c>
      <c r="K653" t="s">
        <v>16</v>
      </c>
    </row>
    <row r="654" spans="1:11" x14ac:dyDescent="0.25">
      <c r="A654" t="s">
        <v>984</v>
      </c>
      <c r="B654" t="s">
        <v>132</v>
      </c>
      <c r="C654" t="s">
        <v>985</v>
      </c>
      <c r="D654">
        <v>738803125</v>
      </c>
      <c r="E654" t="s">
        <v>9</v>
      </c>
      <c r="F654" s="1">
        <v>45469</v>
      </c>
      <c r="G654" t="s">
        <v>415</v>
      </c>
      <c r="H654" s="2">
        <v>1783.88</v>
      </c>
      <c r="I654" t="s">
        <v>25</v>
      </c>
      <c r="J654" t="s">
        <v>36</v>
      </c>
      <c r="K654" t="s">
        <v>16</v>
      </c>
    </row>
    <row r="655" spans="1:11" x14ac:dyDescent="0.25">
      <c r="A655" t="s">
        <v>1224</v>
      </c>
      <c r="B655" t="s">
        <v>326</v>
      </c>
      <c r="C655" t="s">
        <v>1225</v>
      </c>
      <c r="D655">
        <v>748518150</v>
      </c>
      <c r="E655" t="s">
        <v>18</v>
      </c>
      <c r="F655" s="1">
        <v>45903</v>
      </c>
      <c r="G655" t="s">
        <v>24</v>
      </c>
      <c r="H655" s="2">
        <v>1034.6099999999999</v>
      </c>
      <c r="I655" t="s">
        <v>444</v>
      </c>
      <c r="J655" t="s">
        <v>15</v>
      </c>
      <c r="K655" t="s">
        <v>16</v>
      </c>
    </row>
    <row r="656" spans="1:11" x14ac:dyDescent="0.25">
      <c r="A656" t="s">
        <v>1226</v>
      </c>
      <c r="B656" t="s">
        <v>330</v>
      </c>
      <c r="C656" t="s">
        <v>1227</v>
      </c>
      <c r="D656">
        <v>645909202</v>
      </c>
      <c r="E656" t="s">
        <v>9</v>
      </c>
      <c r="F656" s="1">
        <v>45607</v>
      </c>
      <c r="G656" t="s">
        <v>32</v>
      </c>
      <c r="H656" s="2">
        <v>1514.45</v>
      </c>
      <c r="I656" t="s">
        <v>444</v>
      </c>
      <c r="J656" t="s">
        <v>22</v>
      </c>
      <c r="K656" t="s">
        <v>12</v>
      </c>
    </row>
    <row r="657" spans="1:11" x14ac:dyDescent="0.25">
      <c r="A657" t="s">
        <v>729</v>
      </c>
      <c r="B657" t="s">
        <v>119</v>
      </c>
      <c r="C657" t="s">
        <v>730</v>
      </c>
      <c r="D657">
        <v>745350274</v>
      </c>
      <c r="E657" t="s">
        <v>18</v>
      </c>
      <c r="F657" s="1">
        <v>45690</v>
      </c>
      <c r="G657" t="s">
        <v>47</v>
      </c>
      <c r="H657" s="2">
        <v>1938.28</v>
      </c>
      <c r="I657" t="s">
        <v>444</v>
      </c>
      <c r="J657" t="s">
        <v>11</v>
      </c>
      <c r="K657" t="s">
        <v>16</v>
      </c>
    </row>
    <row r="658" spans="1:11" x14ac:dyDescent="0.25">
      <c r="A658" t="s">
        <v>675</v>
      </c>
      <c r="B658" t="s">
        <v>288</v>
      </c>
      <c r="C658" t="s">
        <v>676</v>
      </c>
      <c r="D658">
        <v>715497471</v>
      </c>
      <c r="E658" t="s">
        <v>9</v>
      </c>
      <c r="F658" s="1">
        <v>45681</v>
      </c>
      <c r="G658" t="s">
        <v>518</v>
      </c>
      <c r="H658" s="2">
        <v>1708.05</v>
      </c>
      <c r="I658" t="s">
        <v>25</v>
      </c>
      <c r="J658" t="s">
        <v>36</v>
      </c>
      <c r="K658" t="s">
        <v>16</v>
      </c>
    </row>
    <row r="659" spans="1:11" x14ac:dyDescent="0.25">
      <c r="A659" t="s">
        <v>739</v>
      </c>
      <c r="B659" t="s">
        <v>147</v>
      </c>
      <c r="C659" t="s">
        <v>740</v>
      </c>
      <c r="D659">
        <v>732688394</v>
      </c>
      <c r="E659" t="s">
        <v>9</v>
      </c>
      <c r="F659" s="1">
        <v>45823</v>
      </c>
      <c r="G659" t="s">
        <v>10</v>
      </c>
      <c r="H659" s="2">
        <v>806.67</v>
      </c>
      <c r="I659" t="s">
        <v>444</v>
      </c>
      <c r="J659" t="s">
        <v>22</v>
      </c>
      <c r="K659" t="s">
        <v>12</v>
      </c>
    </row>
    <row r="660" spans="1:11" x14ac:dyDescent="0.25">
      <c r="A660" t="s">
        <v>1000</v>
      </c>
      <c r="B660" t="s">
        <v>240</v>
      </c>
      <c r="C660" t="s">
        <v>1001</v>
      </c>
      <c r="D660">
        <v>905498813</v>
      </c>
      <c r="E660" t="s">
        <v>9</v>
      </c>
      <c r="F660" s="1">
        <v>45394</v>
      </c>
      <c r="G660" t="s">
        <v>29</v>
      </c>
      <c r="H660" s="2">
        <v>1099.07</v>
      </c>
      <c r="I660" t="s">
        <v>444</v>
      </c>
      <c r="J660" t="s">
        <v>33</v>
      </c>
      <c r="K660" t="s">
        <v>16</v>
      </c>
    </row>
    <row r="661" spans="1:11" x14ac:dyDescent="0.25">
      <c r="A661" t="s">
        <v>1064</v>
      </c>
      <c r="B661" t="s">
        <v>380</v>
      </c>
      <c r="C661" t="s">
        <v>1065</v>
      </c>
      <c r="D661">
        <v>704384474</v>
      </c>
      <c r="E661" t="s">
        <v>9</v>
      </c>
      <c r="F661" s="1">
        <v>45818</v>
      </c>
      <c r="G661" t="s">
        <v>412</v>
      </c>
      <c r="H661" s="2">
        <v>929.95</v>
      </c>
      <c r="I661" t="s">
        <v>25</v>
      </c>
      <c r="J661" t="s">
        <v>11</v>
      </c>
      <c r="K661" t="s">
        <v>16</v>
      </c>
    </row>
    <row r="662" spans="1:11" x14ac:dyDescent="0.25">
      <c r="A662" t="s">
        <v>562</v>
      </c>
      <c r="B662" t="s">
        <v>356</v>
      </c>
      <c r="C662" t="s">
        <v>563</v>
      </c>
      <c r="D662">
        <v>747024959</v>
      </c>
      <c r="E662" t="s">
        <v>18</v>
      </c>
      <c r="F662" s="1">
        <v>45710</v>
      </c>
      <c r="G662" t="s">
        <v>32</v>
      </c>
      <c r="H662" s="2">
        <v>1248.17</v>
      </c>
      <c r="I662" t="s">
        <v>507</v>
      </c>
      <c r="J662" t="s">
        <v>11</v>
      </c>
      <c r="K662" t="s">
        <v>12</v>
      </c>
    </row>
    <row r="663" spans="1:11" x14ac:dyDescent="0.25">
      <c r="A663" t="s">
        <v>934</v>
      </c>
      <c r="B663" t="s">
        <v>935</v>
      </c>
      <c r="C663" t="s">
        <v>936</v>
      </c>
      <c r="D663">
        <v>744201404</v>
      </c>
      <c r="E663" t="s">
        <v>9</v>
      </c>
      <c r="F663" s="1">
        <v>45414</v>
      </c>
      <c r="G663" t="s">
        <v>29</v>
      </c>
      <c r="H663" s="2">
        <v>1731.54</v>
      </c>
      <c r="I663" t="s">
        <v>25</v>
      </c>
      <c r="J663" t="s">
        <v>33</v>
      </c>
      <c r="K663" t="s">
        <v>12</v>
      </c>
    </row>
    <row r="664" spans="1:11" x14ac:dyDescent="0.25">
      <c r="A664" t="s">
        <v>1228</v>
      </c>
      <c r="B664" t="s">
        <v>203</v>
      </c>
      <c r="C664" t="s">
        <v>1229</v>
      </c>
      <c r="D664">
        <v>719517916</v>
      </c>
      <c r="E664" t="s">
        <v>9</v>
      </c>
      <c r="F664" s="1">
        <v>45373</v>
      </c>
      <c r="G664" t="s">
        <v>19</v>
      </c>
      <c r="H664" s="2">
        <v>187.56</v>
      </c>
      <c r="I664" t="s">
        <v>25</v>
      </c>
      <c r="J664" t="s">
        <v>22</v>
      </c>
      <c r="K664" t="s">
        <v>16</v>
      </c>
    </row>
    <row r="665" spans="1:11" x14ac:dyDescent="0.25">
      <c r="A665" t="s">
        <v>531</v>
      </c>
      <c r="B665" t="s">
        <v>101</v>
      </c>
      <c r="C665" t="s">
        <v>532</v>
      </c>
      <c r="D665">
        <v>859966448</v>
      </c>
      <c r="E665" t="s">
        <v>18</v>
      </c>
      <c r="F665" s="1">
        <v>45293</v>
      </c>
      <c r="G665" t="s">
        <v>35</v>
      </c>
      <c r="H665" s="2">
        <v>563.96</v>
      </c>
      <c r="I665" t="s">
        <v>25</v>
      </c>
      <c r="J665" t="s">
        <v>26</v>
      </c>
      <c r="K665" t="s">
        <v>16</v>
      </c>
    </row>
    <row r="666" spans="1:11" x14ac:dyDescent="0.25">
      <c r="A666" t="s">
        <v>1230</v>
      </c>
      <c r="B666" t="s">
        <v>168</v>
      </c>
      <c r="C666" t="s">
        <v>1231</v>
      </c>
      <c r="D666">
        <v>604558275</v>
      </c>
      <c r="E666" t="s">
        <v>18</v>
      </c>
      <c r="F666" s="1">
        <v>45787</v>
      </c>
      <c r="G666" t="s">
        <v>47</v>
      </c>
      <c r="H666" s="2">
        <v>1325.29</v>
      </c>
      <c r="I666" t="s">
        <v>25</v>
      </c>
      <c r="J666" t="s">
        <v>11</v>
      </c>
      <c r="K666" t="s">
        <v>16</v>
      </c>
    </row>
    <row r="667" spans="1:11" x14ac:dyDescent="0.25">
      <c r="A667" t="s">
        <v>677</v>
      </c>
      <c r="B667" t="s">
        <v>161</v>
      </c>
      <c r="C667" t="s">
        <v>678</v>
      </c>
      <c r="D667">
        <v>911729847</v>
      </c>
      <c r="E667" t="s">
        <v>18</v>
      </c>
      <c r="F667" s="1">
        <v>45795</v>
      </c>
      <c r="G667" t="s">
        <v>624</v>
      </c>
      <c r="H667" s="2">
        <v>250.78</v>
      </c>
      <c r="I667" t="s">
        <v>25</v>
      </c>
      <c r="J667" t="s">
        <v>33</v>
      </c>
      <c r="K667" t="s">
        <v>12</v>
      </c>
    </row>
    <row r="668" spans="1:11" x14ac:dyDescent="0.25">
      <c r="A668" t="s">
        <v>649</v>
      </c>
      <c r="B668" t="s">
        <v>23</v>
      </c>
      <c r="C668" t="s">
        <v>650</v>
      </c>
      <c r="D668">
        <v>681942999</v>
      </c>
      <c r="E668" t="s">
        <v>9</v>
      </c>
      <c r="F668" s="1">
        <v>45296</v>
      </c>
      <c r="G668" t="s">
        <v>10</v>
      </c>
      <c r="H668" s="2">
        <v>1521.54</v>
      </c>
      <c r="I668" t="s">
        <v>25</v>
      </c>
      <c r="J668" t="s">
        <v>11</v>
      </c>
      <c r="K668" t="s">
        <v>16</v>
      </c>
    </row>
    <row r="669" spans="1:11" x14ac:dyDescent="0.25">
      <c r="A669" t="s">
        <v>1232</v>
      </c>
      <c r="B669" t="s">
        <v>82</v>
      </c>
      <c r="C669" t="s">
        <v>1233</v>
      </c>
      <c r="D669">
        <v>879206409</v>
      </c>
      <c r="E669" t="s">
        <v>9</v>
      </c>
      <c r="F669" s="1">
        <v>45622</v>
      </c>
      <c r="G669" t="s">
        <v>415</v>
      </c>
      <c r="H669" s="2">
        <v>1432.6</v>
      </c>
      <c r="I669" t="s">
        <v>25</v>
      </c>
      <c r="J669" t="s">
        <v>11</v>
      </c>
      <c r="K669" t="s">
        <v>16</v>
      </c>
    </row>
    <row r="670" spans="1:11" x14ac:dyDescent="0.25">
      <c r="A670" t="s">
        <v>625</v>
      </c>
      <c r="B670" t="s">
        <v>375</v>
      </c>
      <c r="C670" t="s">
        <v>626</v>
      </c>
      <c r="D670">
        <v>733325222</v>
      </c>
      <c r="E670" t="s">
        <v>9</v>
      </c>
      <c r="F670" s="1">
        <v>45407</v>
      </c>
      <c r="G670" t="s">
        <v>475</v>
      </c>
      <c r="H670" s="2">
        <v>1158.71</v>
      </c>
      <c r="I670" t="s">
        <v>25</v>
      </c>
      <c r="J670" t="s">
        <v>22</v>
      </c>
      <c r="K670" t="s">
        <v>12</v>
      </c>
    </row>
    <row r="671" spans="1:11" x14ac:dyDescent="0.25">
      <c r="A671" t="s">
        <v>928</v>
      </c>
      <c r="B671" t="s">
        <v>141</v>
      </c>
      <c r="C671" t="s">
        <v>929</v>
      </c>
      <c r="D671">
        <v>737596279</v>
      </c>
      <c r="E671" t="s">
        <v>9</v>
      </c>
      <c r="F671" s="1">
        <v>45428</v>
      </c>
      <c r="G671" t="s">
        <v>603</v>
      </c>
      <c r="H671" s="2">
        <v>671.15</v>
      </c>
      <c r="I671" t="s">
        <v>25</v>
      </c>
      <c r="J671" t="s">
        <v>36</v>
      </c>
      <c r="K671" t="s">
        <v>12</v>
      </c>
    </row>
    <row r="672" spans="1:11" x14ac:dyDescent="0.25">
      <c r="A672" t="s">
        <v>471</v>
      </c>
      <c r="B672" t="s">
        <v>311</v>
      </c>
      <c r="C672" t="s">
        <v>472</v>
      </c>
      <c r="D672">
        <v>892859188</v>
      </c>
      <c r="E672" t="s">
        <v>9</v>
      </c>
      <c r="F672" s="1">
        <v>45313</v>
      </c>
      <c r="G672" t="s">
        <v>32</v>
      </c>
      <c r="H672" s="2">
        <v>311.05</v>
      </c>
      <c r="I672" t="s">
        <v>25</v>
      </c>
      <c r="J672" t="s">
        <v>22</v>
      </c>
      <c r="K672" t="s">
        <v>12</v>
      </c>
    </row>
    <row r="673" spans="1:11" x14ac:dyDescent="0.25">
      <c r="A673" t="s">
        <v>921</v>
      </c>
      <c r="B673" t="s">
        <v>922</v>
      </c>
      <c r="C673" t="s">
        <v>923</v>
      </c>
      <c r="D673">
        <v>722992018</v>
      </c>
      <c r="E673" t="s">
        <v>9</v>
      </c>
      <c r="F673" s="1">
        <v>45447</v>
      </c>
      <c r="G673" t="s">
        <v>460</v>
      </c>
      <c r="H673" s="2">
        <v>1144.9100000000001</v>
      </c>
      <c r="I673" t="s">
        <v>25</v>
      </c>
      <c r="J673" t="s">
        <v>33</v>
      </c>
      <c r="K673" t="s">
        <v>16</v>
      </c>
    </row>
    <row r="674" spans="1:11" x14ac:dyDescent="0.25">
      <c r="A674" t="s">
        <v>677</v>
      </c>
      <c r="B674" t="s">
        <v>161</v>
      </c>
      <c r="C674" t="s">
        <v>678</v>
      </c>
      <c r="D674">
        <v>911729847</v>
      </c>
      <c r="E674" t="s">
        <v>18</v>
      </c>
      <c r="F674" s="1">
        <v>45553</v>
      </c>
      <c r="G674" t="s">
        <v>624</v>
      </c>
      <c r="H674" s="2">
        <v>1193</v>
      </c>
      <c r="I674" t="s">
        <v>25</v>
      </c>
      <c r="J674" t="s">
        <v>26</v>
      </c>
      <c r="K674" t="s">
        <v>12</v>
      </c>
    </row>
    <row r="675" spans="1:11" x14ac:dyDescent="0.25">
      <c r="A675" t="s">
        <v>1234</v>
      </c>
      <c r="B675" t="s">
        <v>331</v>
      </c>
      <c r="C675" t="s">
        <v>1235</v>
      </c>
      <c r="D675">
        <v>877322134</v>
      </c>
      <c r="E675" t="s">
        <v>18</v>
      </c>
      <c r="F675" s="1">
        <v>45848</v>
      </c>
      <c r="G675" t="s">
        <v>21</v>
      </c>
      <c r="H675" s="2">
        <v>1405.64</v>
      </c>
      <c r="I675" t="s">
        <v>507</v>
      </c>
      <c r="J675" t="s">
        <v>11</v>
      </c>
      <c r="K675" t="s">
        <v>16</v>
      </c>
    </row>
    <row r="676" spans="1:11" x14ac:dyDescent="0.25">
      <c r="A676" t="s">
        <v>701</v>
      </c>
      <c r="B676" t="s">
        <v>340</v>
      </c>
      <c r="C676" t="s">
        <v>702</v>
      </c>
      <c r="D676">
        <v>633388134</v>
      </c>
      <c r="E676" t="s">
        <v>9</v>
      </c>
      <c r="F676" s="1">
        <v>45504</v>
      </c>
      <c r="G676" t="s">
        <v>518</v>
      </c>
      <c r="H676" s="2">
        <v>224.75</v>
      </c>
      <c r="I676" t="s">
        <v>25</v>
      </c>
      <c r="J676" t="s">
        <v>22</v>
      </c>
      <c r="K676" t="s">
        <v>12</v>
      </c>
    </row>
    <row r="677" spans="1:11" x14ac:dyDescent="0.25">
      <c r="A677" t="s">
        <v>627</v>
      </c>
      <c r="B677" t="s">
        <v>58</v>
      </c>
      <c r="C677" t="s">
        <v>628</v>
      </c>
      <c r="D677">
        <v>970397357</v>
      </c>
      <c r="E677" t="s">
        <v>18</v>
      </c>
      <c r="F677" s="1">
        <v>45565</v>
      </c>
      <c r="G677" t="s">
        <v>418</v>
      </c>
      <c r="H677" s="2">
        <v>1436.55</v>
      </c>
      <c r="I677" t="s">
        <v>25</v>
      </c>
      <c r="J677" t="s">
        <v>33</v>
      </c>
      <c r="K677" t="s">
        <v>12</v>
      </c>
    </row>
    <row r="678" spans="1:11" x14ac:dyDescent="0.25">
      <c r="A678" t="s">
        <v>1155</v>
      </c>
      <c r="B678" t="s">
        <v>218</v>
      </c>
      <c r="C678" t="s">
        <v>1156</v>
      </c>
      <c r="D678">
        <v>703370540</v>
      </c>
      <c r="E678" t="s">
        <v>9</v>
      </c>
      <c r="F678" s="1">
        <v>45739</v>
      </c>
      <c r="G678" t="s">
        <v>35</v>
      </c>
      <c r="H678" s="2">
        <v>1595.92</v>
      </c>
      <c r="I678" t="s">
        <v>25</v>
      </c>
      <c r="J678" t="s">
        <v>22</v>
      </c>
      <c r="K678" t="s">
        <v>16</v>
      </c>
    </row>
    <row r="679" spans="1:11" x14ac:dyDescent="0.25">
      <c r="A679" t="s">
        <v>1236</v>
      </c>
      <c r="B679" t="s">
        <v>1237</v>
      </c>
      <c r="C679" t="s">
        <v>1238</v>
      </c>
      <c r="D679">
        <v>736625467</v>
      </c>
      <c r="E679" t="s">
        <v>18</v>
      </c>
      <c r="F679" s="1">
        <v>45822</v>
      </c>
      <c r="G679" t="s">
        <v>440</v>
      </c>
      <c r="H679" s="2">
        <v>565.07000000000005</v>
      </c>
      <c r="I679" t="s">
        <v>507</v>
      </c>
      <c r="J679" t="s">
        <v>33</v>
      </c>
      <c r="K679" t="s">
        <v>12</v>
      </c>
    </row>
    <row r="680" spans="1:11" x14ac:dyDescent="0.25">
      <c r="A680" t="s">
        <v>467</v>
      </c>
      <c r="B680" t="s">
        <v>340</v>
      </c>
      <c r="C680" t="s">
        <v>468</v>
      </c>
      <c r="D680">
        <v>735061596</v>
      </c>
      <c r="E680" t="s">
        <v>18</v>
      </c>
      <c r="F680" s="1">
        <v>45324</v>
      </c>
      <c r="G680" t="s">
        <v>423</v>
      </c>
      <c r="H680" s="2">
        <v>967.49</v>
      </c>
      <c r="I680" t="s">
        <v>25</v>
      </c>
      <c r="J680" t="s">
        <v>36</v>
      </c>
      <c r="K680" t="s">
        <v>12</v>
      </c>
    </row>
    <row r="681" spans="1:11" x14ac:dyDescent="0.25">
      <c r="A681" t="s">
        <v>1239</v>
      </c>
      <c r="B681" t="s">
        <v>201</v>
      </c>
      <c r="C681" t="s">
        <v>1240</v>
      </c>
      <c r="D681">
        <v>715969206</v>
      </c>
      <c r="E681" t="s">
        <v>18</v>
      </c>
      <c r="F681" s="1">
        <v>45376</v>
      </c>
      <c r="G681" t="s">
        <v>415</v>
      </c>
      <c r="H681" s="2">
        <v>1324.51</v>
      </c>
      <c r="I681" t="s">
        <v>25</v>
      </c>
      <c r="J681" t="s">
        <v>11</v>
      </c>
      <c r="K681" t="s">
        <v>16</v>
      </c>
    </row>
    <row r="682" spans="1:11" x14ac:dyDescent="0.25">
      <c r="A682" t="s">
        <v>1241</v>
      </c>
      <c r="B682" t="s">
        <v>315</v>
      </c>
      <c r="C682" t="s">
        <v>1242</v>
      </c>
      <c r="D682">
        <v>739478837</v>
      </c>
      <c r="E682" t="s">
        <v>18</v>
      </c>
      <c r="F682" s="1">
        <v>45710</v>
      </c>
      <c r="G682" t="s">
        <v>418</v>
      </c>
      <c r="H682" s="2">
        <v>931.09</v>
      </c>
      <c r="I682" t="s">
        <v>507</v>
      </c>
      <c r="J682" t="s">
        <v>22</v>
      </c>
      <c r="K682" t="s">
        <v>12</v>
      </c>
    </row>
    <row r="683" spans="1:11" x14ac:dyDescent="0.25">
      <c r="A683" t="s">
        <v>788</v>
      </c>
      <c r="B683" t="s">
        <v>373</v>
      </c>
      <c r="C683" t="s">
        <v>789</v>
      </c>
      <c r="D683">
        <v>713999592</v>
      </c>
      <c r="E683" t="s">
        <v>9</v>
      </c>
      <c r="F683" s="1">
        <v>45272</v>
      </c>
      <c r="G683" t="s">
        <v>418</v>
      </c>
      <c r="H683" s="2">
        <v>426.16</v>
      </c>
      <c r="I683" t="s">
        <v>507</v>
      </c>
      <c r="J683" t="s">
        <v>26</v>
      </c>
      <c r="K683" t="s">
        <v>12</v>
      </c>
    </row>
    <row r="684" spans="1:11" x14ac:dyDescent="0.25">
      <c r="A684" t="s">
        <v>841</v>
      </c>
      <c r="B684" t="s">
        <v>275</v>
      </c>
      <c r="C684" t="s">
        <v>842</v>
      </c>
      <c r="D684">
        <v>709339074</v>
      </c>
      <c r="E684" t="s">
        <v>9</v>
      </c>
      <c r="F684" s="1">
        <v>45530</v>
      </c>
      <c r="G684" t="s">
        <v>460</v>
      </c>
      <c r="H684" s="2">
        <v>1956.13</v>
      </c>
      <c r="I684" t="s">
        <v>25</v>
      </c>
      <c r="J684" t="s">
        <v>33</v>
      </c>
      <c r="K684" t="s">
        <v>12</v>
      </c>
    </row>
    <row r="685" spans="1:11" x14ac:dyDescent="0.25">
      <c r="A685" t="s">
        <v>731</v>
      </c>
      <c r="B685" t="s">
        <v>65</v>
      </c>
      <c r="C685" t="s">
        <v>732</v>
      </c>
      <c r="D685">
        <v>719409141</v>
      </c>
      <c r="E685" t="s">
        <v>18</v>
      </c>
      <c r="F685" s="1">
        <v>45819</v>
      </c>
      <c r="G685" t="s">
        <v>39</v>
      </c>
      <c r="H685" s="2">
        <v>1771.06</v>
      </c>
      <c r="I685" t="s">
        <v>25</v>
      </c>
      <c r="J685" t="s">
        <v>11</v>
      </c>
      <c r="K685" t="s">
        <v>12</v>
      </c>
    </row>
    <row r="686" spans="1:11" x14ac:dyDescent="0.25">
      <c r="A686" t="s">
        <v>901</v>
      </c>
      <c r="B686" t="s">
        <v>267</v>
      </c>
      <c r="C686" t="s">
        <v>902</v>
      </c>
      <c r="D686">
        <v>741519428</v>
      </c>
      <c r="E686" t="s">
        <v>9</v>
      </c>
      <c r="F686" s="1">
        <v>45491</v>
      </c>
      <c r="G686" t="s">
        <v>35</v>
      </c>
      <c r="H686" s="2">
        <v>1153.52</v>
      </c>
      <c r="I686" t="s">
        <v>25</v>
      </c>
      <c r="J686" t="s">
        <v>33</v>
      </c>
      <c r="K686" t="s">
        <v>16</v>
      </c>
    </row>
    <row r="687" spans="1:11" x14ac:dyDescent="0.25">
      <c r="A687" t="s">
        <v>577</v>
      </c>
      <c r="B687" t="s">
        <v>578</v>
      </c>
      <c r="C687" t="s">
        <v>579</v>
      </c>
      <c r="D687">
        <v>655270350</v>
      </c>
      <c r="E687" t="s">
        <v>18</v>
      </c>
      <c r="F687" s="1">
        <v>45594</v>
      </c>
      <c r="G687" t="s">
        <v>506</v>
      </c>
      <c r="H687" s="2">
        <v>1943.57</v>
      </c>
      <c r="I687" t="s">
        <v>25</v>
      </c>
      <c r="J687" t="s">
        <v>36</v>
      </c>
      <c r="K687" t="s">
        <v>12</v>
      </c>
    </row>
    <row r="688" spans="1:11" x14ac:dyDescent="0.25">
      <c r="A688" t="s">
        <v>616</v>
      </c>
      <c r="B688" t="s">
        <v>17</v>
      </c>
      <c r="C688" t="s">
        <v>617</v>
      </c>
      <c r="D688">
        <v>802128905</v>
      </c>
      <c r="E688" t="s">
        <v>9</v>
      </c>
      <c r="F688" s="1">
        <v>45362</v>
      </c>
      <c r="G688" t="s">
        <v>412</v>
      </c>
      <c r="H688" s="2">
        <v>1422.07</v>
      </c>
      <c r="I688" t="s">
        <v>25</v>
      </c>
      <c r="J688" t="s">
        <v>11</v>
      </c>
      <c r="K688" t="s">
        <v>12</v>
      </c>
    </row>
    <row r="689" spans="1:11" x14ac:dyDescent="0.25">
      <c r="A689" t="s">
        <v>941</v>
      </c>
      <c r="B689" t="s">
        <v>182</v>
      </c>
      <c r="C689" t="s">
        <v>942</v>
      </c>
      <c r="D689">
        <v>728722101</v>
      </c>
      <c r="E689" t="s">
        <v>9</v>
      </c>
      <c r="F689" s="1">
        <v>45567</v>
      </c>
      <c r="G689" t="s">
        <v>14</v>
      </c>
      <c r="H689" s="2">
        <v>1645.16</v>
      </c>
      <c r="I689" t="s">
        <v>444</v>
      </c>
      <c r="J689" t="s">
        <v>11</v>
      </c>
      <c r="K689" t="s">
        <v>16</v>
      </c>
    </row>
    <row r="690" spans="1:11" x14ac:dyDescent="0.25">
      <c r="A690" t="s">
        <v>1178</v>
      </c>
      <c r="B690" t="s">
        <v>97</v>
      </c>
      <c r="C690" t="s">
        <v>1179</v>
      </c>
      <c r="D690">
        <v>742697581</v>
      </c>
      <c r="E690" t="s">
        <v>9</v>
      </c>
      <c r="F690" s="1">
        <v>45407</v>
      </c>
      <c r="G690" t="s">
        <v>440</v>
      </c>
      <c r="H690" s="2">
        <v>779.27</v>
      </c>
      <c r="I690" t="s">
        <v>25</v>
      </c>
      <c r="J690" t="s">
        <v>33</v>
      </c>
      <c r="K690" t="s">
        <v>12</v>
      </c>
    </row>
    <row r="691" spans="1:11" x14ac:dyDescent="0.25">
      <c r="A691" t="s">
        <v>1243</v>
      </c>
      <c r="B691" t="s">
        <v>124</v>
      </c>
      <c r="C691" t="s">
        <v>1244</v>
      </c>
      <c r="D691">
        <v>704920235</v>
      </c>
      <c r="E691" t="s">
        <v>18</v>
      </c>
      <c r="F691" s="1">
        <v>45726</v>
      </c>
      <c r="G691" t="s">
        <v>440</v>
      </c>
      <c r="H691" s="2">
        <v>1915.03</v>
      </c>
      <c r="I691" t="s">
        <v>25</v>
      </c>
      <c r="J691" t="s">
        <v>11</v>
      </c>
      <c r="K691" t="s">
        <v>12</v>
      </c>
    </row>
    <row r="692" spans="1:11" x14ac:dyDescent="0.25">
      <c r="A692" t="s">
        <v>739</v>
      </c>
      <c r="B692" t="s">
        <v>147</v>
      </c>
      <c r="C692" t="s">
        <v>740</v>
      </c>
      <c r="D692">
        <v>732688394</v>
      </c>
      <c r="E692" t="s">
        <v>9</v>
      </c>
      <c r="F692" s="1">
        <v>45605</v>
      </c>
      <c r="G692" t="s">
        <v>10</v>
      </c>
      <c r="H692" s="2">
        <v>868.33</v>
      </c>
      <c r="I692" t="s">
        <v>507</v>
      </c>
      <c r="J692" t="s">
        <v>26</v>
      </c>
      <c r="K692" t="s">
        <v>16</v>
      </c>
    </row>
    <row r="693" spans="1:11" x14ac:dyDescent="0.25">
      <c r="A693" t="s">
        <v>1245</v>
      </c>
      <c r="B693" t="s">
        <v>290</v>
      </c>
      <c r="C693" t="s">
        <v>1246</v>
      </c>
      <c r="D693">
        <v>966229025</v>
      </c>
      <c r="E693" t="s">
        <v>9</v>
      </c>
      <c r="F693" s="1">
        <v>45443</v>
      </c>
      <c r="G693" t="s">
        <v>518</v>
      </c>
      <c r="H693" s="2">
        <v>1478.79</v>
      </c>
      <c r="I693" t="s">
        <v>507</v>
      </c>
      <c r="J693" t="s">
        <v>22</v>
      </c>
      <c r="K693" t="s">
        <v>16</v>
      </c>
    </row>
    <row r="694" spans="1:11" x14ac:dyDescent="0.25">
      <c r="A694" t="s">
        <v>533</v>
      </c>
      <c r="B694" t="s">
        <v>77</v>
      </c>
      <c r="C694" t="s">
        <v>534</v>
      </c>
      <c r="D694">
        <v>743862708</v>
      </c>
      <c r="E694" t="s">
        <v>9</v>
      </c>
      <c r="F694" s="1">
        <v>45316</v>
      </c>
      <c r="G694" t="s">
        <v>443</v>
      </c>
      <c r="H694" s="2">
        <v>1975.25</v>
      </c>
      <c r="I694" t="s">
        <v>25</v>
      </c>
      <c r="J694" t="s">
        <v>15</v>
      </c>
      <c r="K694" t="s">
        <v>12</v>
      </c>
    </row>
    <row r="695" spans="1:11" x14ac:dyDescent="0.25">
      <c r="A695" t="s">
        <v>582</v>
      </c>
      <c r="B695" t="s">
        <v>347</v>
      </c>
      <c r="C695" t="s">
        <v>583</v>
      </c>
      <c r="D695">
        <v>937606933</v>
      </c>
      <c r="E695" t="s">
        <v>9</v>
      </c>
      <c r="F695" s="1">
        <v>45744</v>
      </c>
      <c r="G695" t="s">
        <v>443</v>
      </c>
      <c r="H695" s="2">
        <v>1345.85</v>
      </c>
      <c r="I695" t="s">
        <v>25</v>
      </c>
      <c r="J695" t="s">
        <v>33</v>
      </c>
      <c r="K695" t="s">
        <v>16</v>
      </c>
    </row>
    <row r="696" spans="1:11" x14ac:dyDescent="0.25">
      <c r="A696" t="s">
        <v>436</v>
      </c>
      <c r="B696" t="s">
        <v>115</v>
      </c>
      <c r="C696" t="s">
        <v>437</v>
      </c>
      <c r="D696">
        <v>806023701</v>
      </c>
      <c r="E696" t="s">
        <v>9</v>
      </c>
      <c r="F696" s="1">
        <v>45610</v>
      </c>
      <c r="G696" t="s">
        <v>10</v>
      </c>
      <c r="H696" s="2">
        <v>760.86</v>
      </c>
      <c r="I696" t="s">
        <v>25</v>
      </c>
      <c r="J696" t="s">
        <v>11</v>
      </c>
      <c r="K696" t="s">
        <v>12</v>
      </c>
    </row>
    <row r="697" spans="1:11" x14ac:dyDescent="0.25">
      <c r="A697" t="s">
        <v>1247</v>
      </c>
      <c r="B697" t="s">
        <v>654</v>
      </c>
      <c r="C697" t="s">
        <v>1248</v>
      </c>
      <c r="D697">
        <v>738123474</v>
      </c>
      <c r="E697" t="s">
        <v>9</v>
      </c>
      <c r="F697" s="1">
        <v>45303</v>
      </c>
      <c r="G697" t="s">
        <v>624</v>
      </c>
      <c r="H697" s="2">
        <v>1629.91</v>
      </c>
      <c r="I697" t="s">
        <v>25</v>
      </c>
      <c r="J697" t="s">
        <v>33</v>
      </c>
      <c r="K697" t="s">
        <v>12</v>
      </c>
    </row>
    <row r="698" spans="1:11" x14ac:dyDescent="0.25">
      <c r="A698" t="s">
        <v>1249</v>
      </c>
      <c r="B698" t="s">
        <v>211</v>
      </c>
      <c r="C698" t="s">
        <v>1250</v>
      </c>
      <c r="D698">
        <v>743281688</v>
      </c>
      <c r="E698" t="s">
        <v>18</v>
      </c>
      <c r="F698" s="1">
        <v>45816</v>
      </c>
      <c r="G698" t="s">
        <v>10</v>
      </c>
      <c r="H698" s="2">
        <v>1243.48</v>
      </c>
      <c r="I698" t="s">
        <v>25</v>
      </c>
      <c r="J698" t="s">
        <v>26</v>
      </c>
      <c r="K698" t="s">
        <v>16</v>
      </c>
    </row>
    <row r="699" spans="1:11" x14ac:dyDescent="0.25">
      <c r="A699" t="s">
        <v>1251</v>
      </c>
      <c r="B699" t="s">
        <v>154</v>
      </c>
      <c r="C699" t="s">
        <v>1252</v>
      </c>
      <c r="D699">
        <v>702573842</v>
      </c>
      <c r="E699" t="s">
        <v>9</v>
      </c>
      <c r="F699" s="1">
        <v>45513</v>
      </c>
      <c r="G699" t="s">
        <v>32</v>
      </c>
      <c r="H699" s="2">
        <v>1369.52</v>
      </c>
      <c r="I699" t="s">
        <v>25</v>
      </c>
      <c r="J699" t="s">
        <v>33</v>
      </c>
      <c r="K699" t="s">
        <v>16</v>
      </c>
    </row>
    <row r="700" spans="1:11" x14ac:dyDescent="0.25">
      <c r="A700" t="s">
        <v>1127</v>
      </c>
      <c r="B700" t="s">
        <v>394</v>
      </c>
      <c r="C700" t="s">
        <v>1128</v>
      </c>
      <c r="D700">
        <v>923537231</v>
      </c>
      <c r="E700" t="s">
        <v>9</v>
      </c>
      <c r="F700" s="1">
        <v>45839</v>
      </c>
      <c r="G700" t="s">
        <v>24</v>
      </c>
      <c r="H700" s="2">
        <v>474.31</v>
      </c>
      <c r="I700" t="s">
        <v>25</v>
      </c>
      <c r="J700" t="s">
        <v>26</v>
      </c>
      <c r="K700" t="s">
        <v>12</v>
      </c>
    </row>
    <row r="701" spans="1:11" x14ac:dyDescent="0.25">
      <c r="A701" t="s">
        <v>471</v>
      </c>
      <c r="B701" t="s">
        <v>311</v>
      </c>
      <c r="C701" t="s">
        <v>472</v>
      </c>
      <c r="D701">
        <v>892859188</v>
      </c>
      <c r="E701" t="s">
        <v>9</v>
      </c>
      <c r="F701" s="1">
        <v>45218</v>
      </c>
      <c r="G701" t="s">
        <v>32</v>
      </c>
      <c r="H701" s="2">
        <v>629.67999999999995</v>
      </c>
      <c r="I701" t="s">
        <v>25</v>
      </c>
      <c r="J701" t="s">
        <v>22</v>
      </c>
      <c r="K701" t="s">
        <v>12</v>
      </c>
    </row>
    <row r="702" spans="1:11" x14ac:dyDescent="0.25">
      <c r="A702" t="s">
        <v>1253</v>
      </c>
      <c r="B702" t="s">
        <v>362</v>
      </c>
      <c r="C702" t="s">
        <v>1254</v>
      </c>
      <c r="D702">
        <v>726726630</v>
      </c>
      <c r="E702" t="s">
        <v>9</v>
      </c>
      <c r="F702" s="1">
        <v>45770</v>
      </c>
      <c r="G702" t="s">
        <v>443</v>
      </c>
      <c r="H702" s="2">
        <v>447.42</v>
      </c>
      <c r="I702" t="s">
        <v>25</v>
      </c>
      <c r="J702" t="s">
        <v>26</v>
      </c>
      <c r="K702" t="s">
        <v>12</v>
      </c>
    </row>
    <row r="703" spans="1:11" x14ac:dyDescent="0.25">
      <c r="A703" t="s">
        <v>1255</v>
      </c>
      <c r="B703" t="s">
        <v>259</v>
      </c>
      <c r="C703" t="s">
        <v>1256</v>
      </c>
      <c r="D703">
        <v>805450275</v>
      </c>
      <c r="E703" t="s">
        <v>13</v>
      </c>
      <c r="F703" s="1">
        <v>45863</v>
      </c>
      <c r="G703" t="s">
        <v>475</v>
      </c>
      <c r="H703" s="2">
        <v>934.58</v>
      </c>
      <c r="I703" t="s">
        <v>25</v>
      </c>
      <c r="J703" t="s">
        <v>11</v>
      </c>
      <c r="K703" t="s">
        <v>12</v>
      </c>
    </row>
    <row r="704" spans="1:11" x14ac:dyDescent="0.25">
      <c r="A704" t="s">
        <v>1257</v>
      </c>
      <c r="B704" t="s">
        <v>135</v>
      </c>
      <c r="C704" t="s">
        <v>1258</v>
      </c>
      <c r="D704">
        <v>876896889</v>
      </c>
      <c r="E704" t="s">
        <v>18</v>
      </c>
      <c r="F704" s="1">
        <v>45801</v>
      </c>
      <c r="G704" t="s">
        <v>475</v>
      </c>
      <c r="H704" s="2">
        <v>77.87</v>
      </c>
      <c r="I704" t="s">
        <v>25</v>
      </c>
      <c r="J704" t="s">
        <v>11</v>
      </c>
      <c r="K704" t="s">
        <v>12</v>
      </c>
    </row>
    <row r="705" spans="1:11" x14ac:dyDescent="0.25">
      <c r="A705" t="s">
        <v>1201</v>
      </c>
      <c r="B705" t="s">
        <v>280</v>
      </c>
      <c r="C705" t="s">
        <v>1202</v>
      </c>
      <c r="D705">
        <v>639659594</v>
      </c>
      <c r="E705" t="s">
        <v>9</v>
      </c>
      <c r="F705" s="1">
        <v>45495</v>
      </c>
      <c r="G705" t="s">
        <v>478</v>
      </c>
      <c r="H705" s="2">
        <v>1015.15</v>
      </c>
      <c r="I705" t="s">
        <v>25</v>
      </c>
      <c r="J705" t="s">
        <v>22</v>
      </c>
      <c r="K705" t="s">
        <v>12</v>
      </c>
    </row>
    <row r="706" spans="1:11" x14ac:dyDescent="0.25">
      <c r="A706" t="s">
        <v>1259</v>
      </c>
      <c r="B706" t="s">
        <v>76</v>
      </c>
      <c r="C706" t="s">
        <v>1260</v>
      </c>
      <c r="D706">
        <v>942844383</v>
      </c>
      <c r="E706" t="s">
        <v>9</v>
      </c>
      <c r="F706" s="1">
        <v>45583</v>
      </c>
      <c r="G706" t="s">
        <v>32</v>
      </c>
      <c r="H706" s="2">
        <v>952.75</v>
      </c>
      <c r="I706" t="s">
        <v>25</v>
      </c>
      <c r="J706" t="s">
        <v>11</v>
      </c>
      <c r="K706" t="s">
        <v>12</v>
      </c>
    </row>
    <row r="707" spans="1:11" x14ac:dyDescent="0.25">
      <c r="A707" t="s">
        <v>582</v>
      </c>
      <c r="B707" t="s">
        <v>347</v>
      </c>
      <c r="C707" t="s">
        <v>583</v>
      </c>
      <c r="D707">
        <v>937606933</v>
      </c>
      <c r="E707" t="s">
        <v>9</v>
      </c>
      <c r="F707" s="1">
        <v>45797</v>
      </c>
      <c r="G707" t="s">
        <v>443</v>
      </c>
      <c r="H707" s="2">
        <v>1236.52</v>
      </c>
      <c r="I707" t="s">
        <v>25</v>
      </c>
      <c r="J707" t="s">
        <v>22</v>
      </c>
      <c r="K707" t="s">
        <v>12</v>
      </c>
    </row>
    <row r="708" spans="1:11" x14ac:dyDescent="0.25">
      <c r="A708" t="s">
        <v>1261</v>
      </c>
      <c r="B708" t="s">
        <v>374</v>
      </c>
      <c r="C708" t="s">
        <v>1262</v>
      </c>
      <c r="D708">
        <v>915781255</v>
      </c>
      <c r="E708" t="s">
        <v>13</v>
      </c>
      <c r="F708" s="1">
        <v>45480</v>
      </c>
      <c r="G708" t="s">
        <v>423</v>
      </c>
      <c r="H708" s="2">
        <v>545.41</v>
      </c>
      <c r="I708" t="s">
        <v>25</v>
      </c>
      <c r="J708" t="s">
        <v>36</v>
      </c>
      <c r="K708" t="s">
        <v>12</v>
      </c>
    </row>
    <row r="709" spans="1:11" x14ac:dyDescent="0.25">
      <c r="A709" t="s">
        <v>610</v>
      </c>
      <c r="B709" t="s">
        <v>385</v>
      </c>
      <c r="C709" t="s">
        <v>611</v>
      </c>
      <c r="D709">
        <v>709840779</v>
      </c>
      <c r="E709" t="s">
        <v>13</v>
      </c>
      <c r="F709" s="1">
        <v>45369</v>
      </c>
      <c r="G709" t="s">
        <v>14</v>
      </c>
      <c r="H709" s="2">
        <v>722.88</v>
      </c>
      <c r="I709" t="s">
        <v>25</v>
      </c>
      <c r="J709" t="s">
        <v>22</v>
      </c>
      <c r="K709" t="s">
        <v>16</v>
      </c>
    </row>
    <row r="710" spans="1:11" x14ac:dyDescent="0.25">
      <c r="A710" t="s">
        <v>1215</v>
      </c>
      <c r="B710" t="s">
        <v>1216</v>
      </c>
      <c r="C710" t="s">
        <v>1217</v>
      </c>
      <c r="D710">
        <v>870444420</v>
      </c>
      <c r="E710" t="s">
        <v>9</v>
      </c>
      <c r="F710" s="1">
        <v>45325</v>
      </c>
      <c r="G710" t="s">
        <v>14</v>
      </c>
      <c r="H710" s="2">
        <v>26.96</v>
      </c>
      <c r="I710" t="s">
        <v>25</v>
      </c>
      <c r="J710" t="s">
        <v>22</v>
      </c>
      <c r="K710" t="s">
        <v>12</v>
      </c>
    </row>
    <row r="711" spans="1:11" x14ac:dyDescent="0.25">
      <c r="A711" t="s">
        <v>1153</v>
      </c>
      <c r="B711" t="s">
        <v>1046</v>
      </c>
      <c r="C711" t="s">
        <v>1154</v>
      </c>
      <c r="D711">
        <v>717920847</v>
      </c>
      <c r="E711" t="s">
        <v>9</v>
      </c>
      <c r="F711" s="1">
        <v>45720</v>
      </c>
      <c r="G711" t="s">
        <v>440</v>
      </c>
      <c r="H711" s="2">
        <v>826.77</v>
      </c>
      <c r="I711" t="s">
        <v>25</v>
      </c>
      <c r="J711" t="s">
        <v>22</v>
      </c>
      <c r="K711" t="s">
        <v>12</v>
      </c>
    </row>
    <row r="712" spans="1:11" x14ac:dyDescent="0.25">
      <c r="A712" t="s">
        <v>456</v>
      </c>
      <c r="B712" t="s">
        <v>206</v>
      </c>
      <c r="C712" t="s">
        <v>457</v>
      </c>
      <c r="D712">
        <v>719563621</v>
      </c>
      <c r="E712" t="s">
        <v>18</v>
      </c>
      <c r="F712" s="1">
        <v>45238</v>
      </c>
      <c r="G712" t="s">
        <v>35</v>
      </c>
      <c r="H712" s="2">
        <v>293.93</v>
      </c>
      <c r="I712" t="s">
        <v>25</v>
      </c>
      <c r="J712" t="s">
        <v>11</v>
      </c>
      <c r="K712" t="s">
        <v>12</v>
      </c>
    </row>
    <row r="713" spans="1:11" x14ac:dyDescent="0.25">
      <c r="A713" t="s">
        <v>557</v>
      </c>
      <c r="B713" t="s">
        <v>558</v>
      </c>
      <c r="C713" t="s">
        <v>559</v>
      </c>
      <c r="D713">
        <v>719919620</v>
      </c>
      <c r="E713" t="s">
        <v>9</v>
      </c>
      <c r="F713" s="1">
        <v>45519</v>
      </c>
      <c r="G713" t="s">
        <v>478</v>
      </c>
      <c r="H713" s="2">
        <v>1469.78</v>
      </c>
      <c r="I713" t="s">
        <v>25</v>
      </c>
      <c r="J713" t="s">
        <v>33</v>
      </c>
      <c r="K713" t="s">
        <v>16</v>
      </c>
    </row>
    <row r="714" spans="1:11" x14ac:dyDescent="0.25">
      <c r="A714" t="s">
        <v>666</v>
      </c>
      <c r="B714" t="s">
        <v>667</v>
      </c>
      <c r="C714" t="s">
        <v>668</v>
      </c>
      <c r="D714">
        <v>608275218</v>
      </c>
      <c r="E714" t="s">
        <v>9</v>
      </c>
      <c r="F714" s="1">
        <v>45483</v>
      </c>
      <c r="G714" t="s">
        <v>35</v>
      </c>
      <c r="H714" s="2">
        <v>507.92</v>
      </c>
      <c r="I714" t="s">
        <v>25</v>
      </c>
      <c r="J714" t="s">
        <v>11</v>
      </c>
      <c r="K714" t="s">
        <v>12</v>
      </c>
    </row>
    <row r="715" spans="1:11" x14ac:dyDescent="0.25">
      <c r="A715" t="s">
        <v>691</v>
      </c>
      <c r="B715" t="s">
        <v>361</v>
      </c>
      <c r="C715" t="s">
        <v>692</v>
      </c>
      <c r="D715">
        <v>653146228</v>
      </c>
      <c r="E715" t="s">
        <v>18</v>
      </c>
      <c r="F715" s="1">
        <v>45669</v>
      </c>
      <c r="G715" t="s">
        <v>460</v>
      </c>
      <c r="H715" s="2">
        <v>871.55</v>
      </c>
      <c r="I715" t="s">
        <v>25</v>
      </c>
      <c r="J715" t="s">
        <v>26</v>
      </c>
      <c r="K715" t="s">
        <v>16</v>
      </c>
    </row>
    <row r="716" spans="1:11" x14ac:dyDescent="0.25">
      <c r="A716" t="s">
        <v>776</v>
      </c>
      <c r="B716" t="s">
        <v>200</v>
      </c>
      <c r="C716" t="s">
        <v>777</v>
      </c>
      <c r="D716">
        <v>727278182</v>
      </c>
      <c r="E716" t="s">
        <v>9</v>
      </c>
      <c r="F716" s="1">
        <v>45430</v>
      </c>
      <c r="G716" t="s">
        <v>603</v>
      </c>
      <c r="H716" s="2">
        <v>546.45000000000005</v>
      </c>
      <c r="I716" t="s">
        <v>25</v>
      </c>
      <c r="J716" t="s">
        <v>11</v>
      </c>
      <c r="K716" t="s">
        <v>12</v>
      </c>
    </row>
    <row r="717" spans="1:11" x14ac:dyDescent="0.25">
      <c r="A717" t="s">
        <v>1141</v>
      </c>
      <c r="B717" t="s">
        <v>348</v>
      </c>
      <c r="C717" t="s">
        <v>1142</v>
      </c>
      <c r="D717">
        <v>858084159</v>
      </c>
      <c r="E717" t="s">
        <v>13</v>
      </c>
      <c r="F717" s="1">
        <v>45472</v>
      </c>
      <c r="G717" t="s">
        <v>418</v>
      </c>
      <c r="H717" s="2">
        <v>1916.53</v>
      </c>
      <c r="I717" t="s">
        <v>444</v>
      </c>
      <c r="J717" t="s">
        <v>11</v>
      </c>
      <c r="K717" t="s">
        <v>12</v>
      </c>
    </row>
    <row r="718" spans="1:11" x14ac:dyDescent="0.25">
      <c r="A718" t="s">
        <v>413</v>
      </c>
      <c r="B718" t="s">
        <v>23</v>
      </c>
      <c r="C718" t="s">
        <v>414</v>
      </c>
      <c r="D718">
        <v>704413195</v>
      </c>
      <c r="E718" t="s">
        <v>18</v>
      </c>
      <c r="F718" s="1">
        <v>45509</v>
      </c>
      <c r="G718" t="s">
        <v>415</v>
      </c>
      <c r="H718" s="2">
        <v>1568.9</v>
      </c>
      <c r="I718" t="s">
        <v>444</v>
      </c>
      <c r="J718" t="s">
        <v>11</v>
      </c>
      <c r="K718" t="s">
        <v>16</v>
      </c>
    </row>
    <row r="719" spans="1:11" x14ac:dyDescent="0.25">
      <c r="A719" t="s">
        <v>1263</v>
      </c>
      <c r="B719" t="s">
        <v>130</v>
      </c>
      <c r="C719" t="s">
        <v>1264</v>
      </c>
      <c r="D719">
        <v>737928942</v>
      </c>
      <c r="E719" t="s">
        <v>9</v>
      </c>
      <c r="F719" s="1">
        <v>45346</v>
      </c>
      <c r="G719" t="s">
        <v>418</v>
      </c>
      <c r="H719" s="2">
        <v>1889.17</v>
      </c>
      <c r="I719" t="s">
        <v>444</v>
      </c>
      <c r="J719" t="s">
        <v>22</v>
      </c>
      <c r="K719" t="s">
        <v>12</v>
      </c>
    </row>
    <row r="720" spans="1:11" x14ac:dyDescent="0.25">
      <c r="A720" t="s">
        <v>1084</v>
      </c>
      <c r="B720" t="s">
        <v>306</v>
      </c>
      <c r="C720" t="s">
        <v>1085</v>
      </c>
      <c r="D720">
        <v>722110763</v>
      </c>
      <c r="E720" t="s">
        <v>13</v>
      </c>
      <c r="F720" s="1">
        <v>45260</v>
      </c>
      <c r="G720" t="s">
        <v>32</v>
      </c>
      <c r="H720" s="2">
        <v>1509.92</v>
      </c>
      <c r="I720" t="s">
        <v>25</v>
      </c>
      <c r="J720" t="s">
        <v>22</v>
      </c>
      <c r="K720" t="s">
        <v>12</v>
      </c>
    </row>
    <row r="721" spans="1:11" x14ac:dyDescent="0.25">
      <c r="A721" t="s">
        <v>465</v>
      </c>
      <c r="B721" t="s">
        <v>355</v>
      </c>
      <c r="C721" t="s">
        <v>466</v>
      </c>
      <c r="D721">
        <v>740369847</v>
      </c>
      <c r="E721" t="s">
        <v>18</v>
      </c>
      <c r="F721" s="1">
        <v>45222</v>
      </c>
      <c r="G721" t="s">
        <v>451</v>
      </c>
      <c r="H721" s="2">
        <v>337.79</v>
      </c>
      <c r="I721" t="s">
        <v>25</v>
      </c>
      <c r="J721" t="s">
        <v>11</v>
      </c>
      <c r="K721" t="s">
        <v>12</v>
      </c>
    </row>
    <row r="722" spans="1:11" x14ac:dyDescent="0.25">
      <c r="A722" t="s">
        <v>877</v>
      </c>
      <c r="B722" t="s">
        <v>287</v>
      </c>
      <c r="C722" t="s">
        <v>878</v>
      </c>
      <c r="D722">
        <v>704650325</v>
      </c>
      <c r="E722" t="s">
        <v>13</v>
      </c>
      <c r="F722" s="1">
        <v>45648</v>
      </c>
      <c r="G722" t="s">
        <v>35</v>
      </c>
      <c r="H722" s="2">
        <v>354.88</v>
      </c>
      <c r="I722" t="s">
        <v>25</v>
      </c>
      <c r="J722" t="s">
        <v>11</v>
      </c>
      <c r="K722" t="s">
        <v>12</v>
      </c>
    </row>
    <row r="723" spans="1:11" x14ac:dyDescent="0.25">
      <c r="A723" t="s">
        <v>1068</v>
      </c>
      <c r="B723" t="s">
        <v>81</v>
      </c>
      <c r="C723" t="s">
        <v>1069</v>
      </c>
      <c r="D723">
        <v>820771678</v>
      </c>
      <c r="E723" t="s">
        <v>9</v>
      </c>
      <c r="F723" s="1">
        <v>45868</v>
      </c>
      <c r="G723" t="s">
        <v>14</v>
      </c>
      <c r="H723" s="2">
        <v>1397.57</v>
      </c>
      <c r="I723" t="s">
        <v>25</v>
      </c>
      <c r="J723" t="s">
        <v>22</v>
      </c>
      <c r="K723" t="s">
        <v>16</v>
      </c>
    </row>
    <row r="724" spans="1:11" x14ac:dyDescent="0.25">
      <c r="A724" t="s">
        <v>697</v>
      </c>
      <c r="B724" t="s">
        <v>293</v>
      </c>
      <c r="C724" t="s">
        <v>698</v>
      </c>
      <c r="D724">
        <v>704058112</v>
      </c>
      <c r="E724" t="s">
        <v>18</v>
      </c>
      <c r="F724" s="1">
        <v>45318</v>
      </c>
      <c r="G724" t="s">
        <v>412</v>
      </c>
      <c r="H724" s="2">
        <v>495.28</v>
      </c>
      <c r="I724" t="s">
        <v>25</v>
      </c>
      <c r="J724" t="s">
        <v>11</v>
      </c>
      <c r="K724" t="s">
        <v>16</v>
      </c>
    </row>
    <row r="725" spans="1:11" x14ac:dyDescent="0.25">
      <c r="A725" t="s">
        <v>1143</v>
      </c>
      <c r="B725" t="s">
        <v>198</v>
      </c>
      <c r="C725" t="s">
        <v>1144</v>
      </c>
      <c r="D725">
        <v>828808869</v>
      </c>
      <c r="E725" t="s">
        <v>9</v>
      </c>
      <c r="F725" s="1">
        <v>45505</v>
      </c>
      <c r="G725" t="s">
        <v>418</v>
      </c>
      <c r="H725" s="2">
        <v>303.32</v>
      </c>
      <c r="I725" t="s">
        <v>25</v>
      </c>
      <c r="J725" t="s">
        <v>33</v>
      </c>
      <c r="K725" t="s">
        <v>12</v>
      </c>
    </row>
    <row r="726" spans="1:11" x14ac:dyDescent="0.25">
      <c r="A726" t="s">
        <v>479</v>
      </c>
      <c r="B726" t="s">
        <v>480</v>
      </c>
      <c r="C726" t="s">
        <v>481</v>
      </c>
      <c r="D726">
        <v>727899933</v>
      </c>
      <c r="E726" t="s">
        <v>18</v>
      </c>
      <c r="F726" s="1">
        <v>45680</v>
      </c>
      <c r="G726" t="s">
        <v>443</v>
      </c>
      <c r="H726" s="2">
        <v>582.17999999999995</v>
      </c>
      <c r="I726" t="s">
        <v>444</v>
      </c>
      <c r="J726" t="s">
        <v>11</v>
      </c>
      <c r="K726" t="s">
        <v>12</v>
      </c>
    </row>
    <row r="727" spans="1:11" x14ac:dyDescent="0.25">
      <c r="A727" t="s">
        <v>1036</v>
      </c>
      <c r="B727" t="s">
        <v>193</v>
      </c>
      <c r="C727" t="s">
        <v>1037</v>
      </c>
      <c r="D727">
        <v>716805697</v>
      </c>
      <c r="E727" t="s">
        <v>9</v>
      </c>
      <c r="F727" s="1">
        <v>45197</v>
      </c>
      <c r="G727" t="s">
        <v>21</v>
      </c>
      <c r="H727" s="2">
        <v>187.91</v>
      </c>
      <c r="I727" t="s">
        <v>25</v>
      </c>
      <c r="J727" t="s">
        <v>11</v>
      </c>
      <c r="K727" t="s">
        <v>16</v>
      </c>
    </row>
    <row r="728" spans="1:11" x14ac:dyDescent="0.25">
      <c r="A728" t="s">
        <v>1056</v>
      </c>
      <c r="B728" t="s">
        <v>98</v>
      </c>
      <c r="C728" t="s">
        <v>1057</v>
      </c>
      <c r="D728">
        <v>714801888</v>
      </c>
      <c r="E728" t="s">
        <v>13</v>
      </c>
      <c r="F728" s="1">
        <v>45181</v>
      </c>
      <c r="G728" t="s">
        <v>451</v>
      </c>
      <c r="H728" s="2">
        <v>1351.09</v>
      </c>
      <c r="I728" t="s">
        <v>25</v>
      </c>
      <c r="J728" t="s">
        <v>36</v>
      </c>
      <c r="K728" t="s">
        <v>16</v>
      </c>
    </row>
    <row r="729" spans="1:11" x14ac:dyDescent="0.25">
      <c r="A729" t="s">
        <v>802</v>
      </c>
      <c r="B729" t="s">
        <v>174</v>
      </c>
      <c r="C729" t="s">
        <v>803</v>
      </c>
      <c r="D729">
        <v>704105492</v>
      </c>
      <c r="E729" t="s">
        <v>18</v>
      </c>
      <c r="F729" s="1">
        <v>45478</v>
      </c>
      <c r="G729" t="s">
        <v>39</v>
      </c>
      <c r="H729" s="2">
        <v>210.83</v>
      </c>
      <c r="I729" t="s">
        <v>25</v>
      </c>
      <c r="J729" t="s">
        <v>26</v>
      </c>
      <c r="K729" t="s">
        <v>12</v>
      </c>
    </row>
    <row r="730" spans="1:11" x14ac:dyDescent="0.25">
      <c r="A730" t="s">
        <v>637</v>
      </c>
      <c r="B730" t="s">
        <v>176</v>
      </c>
      <c r="C730" t="s">
        <v>638</v>
      </c>
      <c r="D730">
        <v>721361791</v>
      </c>
      <c r="E730" t="s">
        <v>9</v>
      </c>
      <c r="F730" s="1">
        <v>45554</v>
      </c>
      <c r="G730" t="s">
        <v>440</v>
      </c>
      <c r="H730" s="2">
        <v>1804.56</v>
      </c>
      <c r="I730" t="s">
        <v>25</v>
      </c>
      <c r="J730" t="s">
        <v>11</v>
      </c>
      <c r="K730" t="s">
        <v>12</v>
      </c>
    </row>
    <row r="731" spans="1:11" x14ac:dyDescent="0.25">
      <c r="A731" t="s">
        <v>1265</v>
      </c>
      <c r="B731" t="s">
        <v>86</v>
      </c>
      <c r="C731" t="s">
        <v>1266</v>
      </c>
      <c r="D731">
        <v>721786256</v>
      </c>
      <c r="E731" t="s">
        <v>9</v>
      </c>
      <c r="F731" s="1">
        <v>45549</v>
      </c>
      <c r="G731" t="s">
        <v>423</v>
      </c>
      <c r="H731" s="2">
        <v>1646.04</v>
      </c>
      <c r="I731" t="s">
        <v>25</v>
      </c>
      <c r="J731" t="s">
        <v>36</v>
      </c>
      <c r="K731" t="s">
        <v>12</v>
      </c>
    </row>
    <row r="732" spans="1:11" x14ac:dyDescent="0.25">
      <c r="A732" t="s">
        <v>709</v>
      </c>
      <c r="B732" t="s">
        <v>57</v>
      </c>
      <c r="C732" t="s">
        <v>710</v>
      </c>
      <c r="D732">
        <v>744459838</v>
      </c>
      <c r="E732" t="s">
        <v>9</v>
      </c>
      <c r="F732" s="1">
        <v>45727</v>
      </c>
      <c r="G732" t="s">
        <v>443</v>
      </c>
      <c r="H732" s="2">
        <v>435.58</v>
      </c>
      <c r="I732" t="s">
        <v>25</v>
      </c>
      <c r="J732" t="s">
        <v>22</v>
      </c>
      <c r="K732" t="s">
        <v>12</v>
      </c>
    </row>
    <row r="733" spans="1:11" x14ac:dyDescent="0.25">
      <c r="A733" t="s">
        <v>1267</v>
      </c>
      <c r="B733" t="s">
        <v>1268</v>
      </c>
      <c r="C733" t="s">
        <v>1269</v>
      </c>
      <c r="D733">
        <v>707329571</v>
      </c>
      <c r="E733" t="s">
        <v>18</v>
      </c>
      <c r="F733" s="1">
        <v>45492</v>
      </c>
      <c r="G733" t="s">
        <v>475</v>
      </c>
      <c r="H733" s="2">
        <v>845.87</v>
      </c>
      <c r="I733" t="s">
        <v>25</v>
      </c>
      <c r="J733" t="s">
        <v>11</v>
      </c>
      <c r="K733" t="s">
        <v>16</v>
      </c>
    </row>
    <row r="734" spans="1:11" x14ac:dyDescent="0.25">
      <c r="A734" t="s">
        <v>502</v>
      </c>
      <c r="B734" t="s">
        <v>352</v>
      </c>
      <c r="C734" t="s">
        <v>503</v>
      </c>
      <c r="D734">
        <v>731725140</v>
      </c>
      <c r="E734" t="s">
        <v>9</v>
      </c>
      <c r="F734" s="1">
        <v>45817</v>
      </c>
      <c r="G734" t="s">
        <v>415</v>
      </c>
      <c r="H734" s="2">
        <v>97.46</v>
      </c>
      <c r="I734" t="s">
        <v>25</v>
      </c>
      <c r="J734" t="s">
        <v>33</v>
      </c>
      <c r="K734" t="s">
        <v>16</v>
      </c>
    </row>
    <row r="735" spans="1:11" x14ac:dyDescent="0.25">
      <c r="A735" t="s">
        <v>1222</v>
      </c>
      <c r="B735" t="s">
        <v>399</v>
      </c>
      <c r="C735" t="s">
        <v>1223</v>
      </c>
      <c r="D735">
        <v>639108490</v>
      </c>
      <c r="E735" t="s">
        <v>9</v>
      </c>
      <c r="F735" s="1">
        <v>45786</v>
      </c>
      <c r="G735" t="s">
        <v>506</v>
      </c>
      <c r="H735" s="2">
        <v>160.5</v>
      </c>
      <c r="I735" t="s">
        <v>25</v>
      </c>
      <c r="J735" t="s">
        <v>15</v>
      </c>
      <c r="K735" t="s">
        <v>16</v>
      </c>
    </row>
    <row r="736" spans="1:11" x14ac:dyDescent="0.25">
      <c r="A736" t="s">
        <v>1042</v>
      </c>
      <c r="B736" t="s">
        <v>1043</v>
      </c>
      <c r="C736" t="s">
        <v>1044</v>
      </c>
      <c r="D736">
        <v>917893213</v>
      </c>
      <c r="E736" t="s">
        <v>18</v>
      </c>
      <c r="F736" s="1">
        <v>45585</v>
      </c>
      <c r="G736" t="s">
        <v>440</v>
      </c>
      <c r="H736" s="2">
        <v>505.86</v>
      </c>
      <c r="I736" t="s">
        <v>25</v>
      </c>
      <c r="J736" t="s">
        <v>36</v>
      </c>
      <c r="K736" t="s">
        <v>12</v>
      </c>
    </row>
    <row r="737" spans="1:11" x14ac:dyDescent="0.25">
      <c r="A737" t="s">
        <v>820</v>
      </c>
      <c r="B737" t="s">
        <v>64</v>
      </c>
      <c r="C737" t="s">
        <v>821</v>
      </c>
      <c r="D737">
        <v>887900324</v>
      </c>
      <c r="E737" t="s">
        <v>9</v>
      </c>
      <c r="F737" s="1">
        <v>45651</v>
      </c>
      <c r="G737" t="s">
        <v>24</v>
      </c>
      <c r="H737" s="2">
        <v>1444.17</v>
      </c>
      <c r="I737" t="s">
        <v>444</v>
      </c>
      <c r="J737" t="s">
        <v>26</v>
      </c>
      <c r="K737" t="s">
        <v>12</v>
      </c>
    </row>
    <row r="738" spans="1:11" x14ac:dyDescent="0.25">
      <c r="A738" t="s">
        <v>1112</v>
      </c>
      <c r="B738" t="s">
        <v>1113</v>
      </c>
      <c r="C738" t="s">
        <v>1114</v>
      </c>
      <c r="D738">
        <v>636255184</v>
      </c>
      <c r="E738" t="s">
        <v>9</v>
      </c>
      <c r="F738" s="1">
        <v>45739</v>
      </c>
      <c r="G738" t="s">
        <v>415</v>
      </c>
      <c r="H738" s="2">
        <v>1153.6199999999999</v>
      </c>
      <c r="I738" t="s">
        <v>25</v>
      </c>
      <c r="J738" t="s">
        <v>11</v>
      </c>
      <c r="K738" t="s">
        <v>12</v>
      </c>
    </row>
    <row r="739" spans="1:11" x14ac:dyDescent="0.25">
      <c r="A739" t="s">
        <v>1108</v>
      </c>
      <c r="B739" t="s">
        <v>224</v>
      </c>
      <c r="C739" t="s">
        <v>1109</v>
      </c>
      <c r="D739">
        <v>694844051</v>
      </c>
      <c r="E739" t="s">
        <v>9</v>
      </c>
      <c r="F739" s="1">
        <v>45704</v>
      </c>
      <c r="G739" t="s">
        <v>21</v>
      </c>
      <c r="H739" s="2">
        <v>1609.09</v>
      </c>
      <c r="I739" t="s">
        <v>25</v>
      </c>
      <c r="J739" t="s">
        <v>11</v>
      </c>
      <c r="K739" t="s">
        <v>12</v>
      </c>
    </row>
    <row r="740" spans="1:11" x14ac:dyDescent="0.25">
      <c r="A740" t="s">
        <v>1270</v>
      </c>
      <c r="B740" t="s">
        <v>357</v>
      </c>
      <c r="C740" t="s">
        <v>1271</v>
      </c>
      <c r="D740">
        <v>713007657</v>
      </c>
      <c r="E740" t="s">
        <v>13</v>
      </c>
      <c r="F740" s="1">
        <v>45721</v>
      </c>
      <c r="G740" t="s">
        <v>478</v>
      </c>
      <c r="H740" s="2">
        <v>1199.55</v>
      </c>
      <c r="I740" t="s">
        <v>25</v>
      </c>
      <c r="J740" t="s">
        <v>36</v>
      </c>
      <c r="K740" t="s">
        <v>12</v>
      </c>
    </row>
    <row r="741" spans="1:11" x14ac:dyDescent="0.25">
      <c r="A741" t="s">
        <v>1272</v>
      </c>
      <c r="B741" t="s">
        <v>313</v>
      </c>
      <c r="C741" t="s">
        <v>1273</v>
      </c>
      <c r="D741">
        <v>878768666</v>
      </c>
      <c r="E741" t="s">
        <v>13</v>
      </c>
      <c r="F741" s="1">
        <v>45287</v>
      </c>
      <c r="G741" t="s">
        <v>518</v>
      </c>
      <c r="H741" s="2">
        <v>283.02</v>
      </c>
      <c r="I741" t="s">
        <v>25</v>
      </c>
      <c r="J741" t="s">
        <v>33</v>
      </c>
      <c r="K741" t="s">
        <v>12</v>
      </c>
    </row>
    <row r="742" spans="1:11" x14ac:dyDescent="0.25">
      <c r="A742" t="s">
        <v>562</v>
      </c>
      <c r="B742" t="s">
        <v>356</v>
      </c>
      <c r="C742" t="s">
        <v>563</v>
      </c>
      <c r="D742">
        <v>747024959</v>
      </c>
      <c r="E742" t="s">
        <v>18</v>
      </c>
      <c r="F742" s="1">
        <v>45188</v>
      </c>
      <c r="G742" t="s">
        <v>32</v>
      </c>
      <c r="H742" s="2">
        <v>46.42</v>
      </c>
      <c r="I742" t="s">
        <v>25</v>
      </c>
      <c r="J742" t="s">
        <v>11</v>
      </c>
      <c r="K742" t="s">
        <v>12</v>
      </c>
    </row>
    <row r="743" spans="1:11" x14ac:dyDescent="0.25">
      <c r="A743" t="s">
        <v>521</v>
      </c>
      <c r="B743" t="s">
        <v>197</v>
      </c>
      <c r="C743" t="s">
        <v>522</v>
      </c>
      <c r="D743">
        <v>705389520</v>
      </c>
      <c r="E743" t="s">
        <v>13</v>
      </c>
      <c r="F743" s="1">
        <v>45544</v>
      </c>
      <c r="G743" t="s">
        <v>10</v>
      </c>
      <c r="H743" s="2">
        <v>1273.04</v>
      </c>
      <c r="I743" t="s">
        <v>25</v>
      </c>
      <c r="J743" t="s">
        <v>11</v>
      </c>
      <c r="K743" t="s">
        <v>12</v>
      </c>
    </row>
    <row r="744" spans="1:11" x14ac:dyDescent="0.25">
      <c r="A744" t="s">
        <v>547</v>
      </c>
      <c r="B744" t="s">
        <v>96</v>
      </c>
      <c r="C744" t="s">
        <v>548</v>
      </c>
      <c r="D744">
        <v>748347564</v>
      </c>
      <c r="E744" t="s">
        <v>18</v>
      </c>
      <c r="F744" s="1">
        <v>45733</v>
      </c>
      <c r="G744" t="s">
        <v>423</v>
      </c>
      <c r="H744" s="2">
        <v>1807.86</v>
      </c>
      <c r="I744" t="s">
        <v>25</v>
      </c>
      <c r="J744" t="s">
        <v>36</v>
      </c>
      <c r="K744" t="s">
        <v>16</v>
      </c>
    </row>
    <row r="745" spans="1:11" x14ac:dyDescent="0.25">
      <c r="A745" t="s">
        <v>1274</v>
      </c>
      <c r="B745" t="s">
        <v>261</v>
      </c>
      <c r="C745" t="s">
        <v>1275</v>
      </c>
      <c r="D745">
        <v>730694210</v>
      </c>
      <c r="E745" t="s">
        <v>18</v>
      </c>
      <c r="F745" s="1">
        <v>45874</v>
      </c>
      <c r="G745" t="s">
        <v>14</v>
      </c>
      <c r="H745" s="2">
        <v>1810.33</v>
      </c>
      <c r="I745" t="s">
        <v>25</v>
      </c>
      <c r="J745" t="s">
        <v>11</v>
      </c>
      <c r="K745" t="s">
        <v>12</v>
      </c>
    </row>
    <row r="746" spans="1:11" x14ac:dyDescent="0.25">
      <c r="A746" t="s">
        <v>1276</v>
      </c>
      <c r="B746" t="s">
        <v>42</v>
      </c>
      <c r="C746" t="s">
        <v>1277</v>
      </c>
      <c r="D746">
        <v>746518380</v>
      </c>
      <c r="E746" t="s">
        <v>18</v>
      </c>
      <c r="F746" s="1">
        <v>45289</v>
      </c>
      <c r="G746" t="s">
        <v>29</v>
      </c>
      <c r="H746" s="2">
        <v>335.99</v>
      </c>
      <c r="I746" t="s">
        <v>25</v>
      </c>
      <c r="J746" t="s">
        <v>22</v>
      </c>
      <c r="K746" t="s">
        <v>16</v>
      </c>
    </row>
    <row r="747" spans="1:11" x14ac:dyDescent="0.25">
      <c r="A747" t="s">
        <v>735</v>
      </c>
      <c r="B747" t="s">
        <v>55</v>
      </c>
      <c r="C747" t="s">
        <v>736</v>
      </c>
      <c r="D747">
        <v>724968308</v>
      </c>
      <c r="E747" t="s">
        <v>9</v>
      </c>
      <c r="F747" s="1">
        <v>45718</v>
      </c>
      <c r="G747" t="s">
        <v>415</v>
      </c>
      <c r="H747" s="2">
        <v>1700.92</v>
      </c>
      <c r="I747" t="s">
        <v>25</v>
      </c>
      <c r="J747" t="s">
        <v>26</v>
      </c>
      <c r="K747" t="s">
        <v>16</v>
      </c>
    </row>
    <row r="748" spans="1:11" x14ac:dyDescent="0.25">
      <c r="A748" t="s">
        <v>996</v>
      </c>
      <c r="B748" t="s">
        <v>344</v>
      </c>
      <c r="C748" t="s">
        <v>997</v>
      </c>
      <c r="D748">
        <v>919457468</v>
      </c>
      <c r="E748" t="s">
        <v>9</v>
      </c>
      <c r="F748" s="1">
        <v>45683</v>
      </c>
      <c r="G748" t="s">
        <v>47</v>
      </c>
      <c r="H748" s="2">
        <v>307.37</v>
      </c>
      <c r="I748" t="s">
        <v>25</v>
      </c>
      <c r="J748" t="s">
        <v>22</v>
      </c>
      <c r="K748" t="s">
        <v>16</v>
      </c>
    </row>
    <row r="749" spans="1:11" x14ac:dyDescent="0.25">
      <c r="A749" t="s">
        <v>1278</v>
      </c>
      <c r="B749" t="s">
        <v>223</v>
      </c>
      <c r="C749" t="s">
        <v>1279</v>
      </c>
      <c r="D749">
        <v>876034490</v>
      </c>
      <c r="E749" t="s">
        <v>18</v>
      </c>
      <c r="F749" s="1">
        <v>45490</v>
      </c>
      <c r="G749" t="s">
        <v>475</v>
      </c>
      <c r="H749" s="2">
        <v>1637.23</v>
      </c>
      <c r="I749" t="s">
        <v>507</v>
      </c>
      <c r="J749" t="s">
        <v>33</v>
      </c>
      <c r="K749" t="s">
        <v>12</v>
      </c>
    </row>
    <row r="750" spans="1:11" x14ac:dyDescent="0.25">
      <c r="A750" t="s">
        <v>894</v>
      </c>
      <c r="B750" t="s">
        <v>895</v>
      </c>
      <c r="C750" t="s">
        <v>896</v>
      </c>
      <c r="D750">
        <v>748416256</v>
      </c>
      <c r="E750" t="s">
        <v>9</v>
      </c>
      <c r="F750" s="1">
        <v>45797</v>
      </c>
      <c r="G750" t="s">
        <v>418</v>
      </c>
      <c r="H750" s="2">
        <v>1213.6099999999999</v>
      </c>
      <c r="I750" t="s">
        <v>25</v>
      </c>
      <c r="J750" t="s">
        <v>22</v>
      </c>
      <c r="K750" t="s">
        <v>16</v>
      </c>
    </row>
    <row r="751" spans="1:11" x14ac:dyDescent="0.25">
      <c r="A751" t="s">
        <v>960</v>
      </c>
      <c r="B751" t="s">
        <v>266</v>
      </c>
      <c r="C751" t="s">
        <v>961</v>
      </c>
      <c r="D751">
        <v>854810022</v>
      </c>
      <c r="E751" t="s">
        <v>18</v>
      </c>
      <c r="F751" s="1">
        <v>45179</v>
      </c>
      <c r="G751" t="s">
        <v>460</v>
      </c>
      <c r="H751" s="2">
        <v>176.71</v>
      </c>
      <c r="I751" t="s">
        <v>25</v>
      </c>
      <c r="J751" t="s">
        <v>22</v>
      </c>
      <c r="K751" t="s">
        <v>12</v>
      </c>
    </row>
    <row r="752" spans="1:11" x14ac:dyDescent="0.25">
      <c r="A752" t="s">
        <v>1280</v>
      </c>
      <c r="B752" t="s">
        <v>230</v>
      </c>
      <c r="C752" t="s">
        <v>1281</v>
      </c>
      <c r="D752">
        <v>865720278</v>
      </c>
      <c r="E752" t="s">
        <v>9</v>
      </c>
      <c r="F752" s="1">
        <v>45837</v>
      </c>
      <c r="G752" t="s">
        <v>440</v>
      </c>
      <c r="H752" s="2">
        <v>1650.85</v>
      </c>
      <c r="I752" t="s">
        <v>25</v>
      </c>
      <c r="J752" t="s">
        <v>26</v>
      </c>
      <c r="K752" t="s">
        <v>12</v>
      </c>
    </row>
    <row r="753" spans="1:11" x14ac:dyDescent="0.25">
      <c r="A753" t="s">
        <v>568</v>
      </c>
      <c r="B753" t="s">
        <v>188</v>
      </c>
      <c r="C753" t="s">
        <v>569</v>
      </c>
      <c r="D753">
        <v>841231253</v>
      </c>
      <c r="E753" t="s">
        <v>9</v>
      </c>
      <c r="F753" s="1">
        <v>45301</v>
      </c>
      <c r="G753" t="s">
        <v>47</v>
      </c>
      <c r="H753" s="2">
        <v>415.71</v>
      </c>
      <c r="I753" t="s">
        <v>25</v>
      </c>
      <c r="J753" t="s">
        <v>22</v>
      </c>
      <c r="K753" t="s">
        <v>12</v>
      </c>
    </row>
    <row r="754" spans="1:11" x14ac:dyDescent="0.25">
      <c r="A754" t="s">
        <v>911</v>
      </c>
      <c r="B754" t="s">
        <v>397</v>
      </c>
      <c r="C754" t="s">
        <v>912</v>
      </c>
      <c r="D754">
        <v>741356026</v>
      </c>
      <c r="E754" t="s">
        <v>9</v>
      </c>
      <c r="F754" s="1">
        <v>45378</v>
      </c>
      <c r="G754" t="s">
        <v>478</v>
      </c>
      <c r="H754" s="2">
        <v>1172.6099999999999</v>
      </c>
      <c r="I754" t="s">
        <v>25</v>
      </c>
      <c r="J754" t="s">
        <v>22</v>
      </c>
      <c r="K754" t="s">
        <v>12</v>
      </c>
    </row>
    <row r="755" spans="1:11" x14ac:dyDescent="0.25">
      <c r="A755" t="s">
        <v>745</v>
      </c>
      <c r="B755" t="s">
        <v>289</v>
      </c>
      <c r="C755" t="s">
        <v>746</v>
      </c>
      <c r="D755">
        <v>719129176</v>
      </c>
      <c r="E755" t="s">
        <v>18</v>
      </c>
      <c r="F755" s="1">
        <v>45347</v>
      </c>
      <c r="G755" t="s">
        <v>21</v>
      </c>
      <c r="H755" s="2">
        <v>513.73</v>
      </c>
      <c r="I755" t="s">
        <v>444</v>
      </c>
      <c r="J755" t="s">
        <v>11</v>
      </c>
      <c r="K755" t="s">
        <v>16</v>
      </c>
    </row>
    <row r="756" spans="1:11" x14ac:dyDescent="0.25">
      <c r="A756" t="s">
        <v>637</v>
      </c>
      <c r="B756" t="s">
        <v>176</v>
      </c>
      <c r="C756" t="s">
        <v>638</v>
      </c>
      <c r="D756">
        <v>721361791</v>
      </c>
      <c r="E756" t="s">
        <v>9</v>
      </c>
      <c r="F756" s="1">
        <v>45753</v>
      </c>
      <c r="G756" t="s">
        <v>440</v>
      </c>
      <c r="H756" s="2">
        <v>360.73</v>
      </c>
      <c r="I756" t="s">
        <v>25</v>
      </c>
      <c r="J756" t="s">
        <v>11</v>
      </c>
      <c r="K756" t="s">
        <v>16</v>
      </c>
    </row>
    <row r="757" spans="1:11" x14ac:dyDescent="0.25">
      <c r="A757" t="s">
        <v>454</v>
      </c>
      <c r="B757" t="s">
        <v>262</v>
      </c>
      <c r="C757" t="s">
        <v>455</v>
      </c>
      <c r="D757">
        <v>879596240</v>
      </c>
      <c r="E757" t="s">
        <v>13</v>
      </c>
      <c r="F757" s="1">
        <v>45823</v>
      </c>
      <c r="G757" t="s">
        <v>14</v>
      </c>
      <c r="H757" s="2">
        <v>500.98</v>
      </c>
      <c r="I757" t="s">
        <v>25</v>
      </c>
      <c r="J757" t="s">
        <v>33</v>
      </c>
      <c r="K757" t="s">
        <v>16</v>
      </c>
    </row>
    <row r="758" spans="1:11" x14ac:dyDescent="0.25">
      <c r="A758" t="s">
        <v>976</v>
      </c>
      <c r="B758" t="s">
        <v>245</v>
      </c>
      <c r="C758" t="s">
        <v>977</v>
      </c>
      <c r="D758">
        <v>721566153</v>
      </c>
      <c r="E758" t="s">
        <v>9</v>
      </c>
      <c r="F758" s="1">
        <v>45763</v>
      </c>
      <c r="G758" t="s">
        <v>35</v>
      </c>
      <c r="H758" s="2">
        <v>345.99</v>
      </c>
      <c r="I758" t="s">
        <v>25</v>
      </c>
      <c r="J758" t="s">
        <v>15</v>
      </c>
      <c r="K758" t="s">
        <v>16</v>
      </c>
    </row>
    <row r="759" spans="1:11" x14ac:dyDescent="0.25">
      <c r="A759" t="s">
        <v>771</v>
      </c>
      <c r="B759" t="s">
        <v>772</v>
      </c>
      <c r="C759" t="s">
        <v>773</v>
      </c>
      <c r="D759">
        <v>612365010</v>
      </c>
      <c r="E759" t="s">
        <v>18</v>
      </c>
      <c r="F759" s="1">
        <v>45580</v>
      </c>
      <c r="G759" t="s">
        <v>624</v>
      </c>
      <c r="H759" s="2">
        <v>1040.1199999999999</v>
      </c>
      <c r="I759" t="s">
        <v>25</v>
      </c>
      <c r="J759" t="s">
        <v>33</v>
      </c>
      <c r="K759" t="s">
        <v>12</v>
      </c>
    </row>
    <row r="760" spans="1:11" x14ac:dyDescent="0.25">
      <c r="A760" t="s">
        <v>643</v>
      </c>
      <c r="B760" t="s">
        <v>389</v>
      </c>
      <c r="C760" t="s">
        <v>644</v>
      </c>
      <c r="D760">
        <v>723547702</v>
      </c>
      <c r="E760" t="s">
        <v>9</v>
      </c>
      <c r="F760" s="1">
        <v>45280</v>
      </c>
      <c r="G760" t="s">
        <v>603</v>
      </c>
      <c r="H760" s="2">
        <v>983.55</v>
      </c>
      <c r="I760" t="s">
        <v>25</v>
      </c>
      <c r="J760" t="s">
        <v>36</v>
      </c>
      <c r="K760" t="s">
        <v>16</v>
      </c>
    </row>
    <row r="761" spans="1:11" x14ac:dyDescent="0.25">
      <c r="A761" t="s">
        <v>500</v>
      </c>
      <c r="B761" t="s">
        <v>158</v>
      </c>
      <c r="C761" t="s">
        <v>501</v>
      </c>
      <c r="D761">
        <v>700258650</v>
      </c>
      <c r="E761" t="s">
        <v>9</v>
      </c>
      <c r="F761" s="1">
        <v>45651</v>
      </c>
      <c r="G761" t="s">
        <v>412</v>
      </c>
      <c r="H761" s="2">
        <v>723.75</v>
      </c>
      <c r="I761" t="s">
        <v>25</v>
      </c>
      <c r="J761" t="s">
        <v>33</v>
      </c>
      <c r="K761" t="s">
        <v>16</v>
      </c>
    </row>
    <row r="762" spans="1:11" x14ac:dyDescent="0.25">
      <c r="A762" t="s">
        <v>1282</v>
      </c>
      <c r="B762" t="s">
        <v>118</v>
      </c>
      <c r="C762" t="s">
        <v>1283</v>
      </c>
      <c r="D762">
        <v>895649355</v>
      </c>
      <c r="E762" t="s">
        <v>18</v>
      </c>
      <c r="F762" s="1">
        <v>45766</v>
      </c>
      <c r="G762" t="s">
        <v>440</v>
      </c>
      <c r="H762" s="2">
        <v>451.55</v>
      </c>
      <c r="I762" t="s">
        <v>507</v>
      </c>
      <c r="J762" t="s">
        <v>11</v>
      </c>
      <c r="K762" t="s">
        <v>16</v>
      </c>
    </row>
    <row r="763" spans="1:11" x14ac:dyDescent="0.25">
      <c r="A763" t="s">
        <v>913</v>
      </c>
      <c r="B763" t="s">
        <v>104</v>
      </c>
      <c r="C763" t="s">
        <v>914</v>
      </c>
      <c r="D763">
        <v>725307458</v>
      </c>
      <c r="E763" t="s">
        <v>9</v>
      </c>
      <c r="F763" s="1">
        <v>45717</v>
      </c>
      <c r="G763" t="s">
        <v>478</v>
      </c>
      <c r="H763" s="2">
        <v>1173.0999999999999</v>
      </c>
      <c r="I763" t="s">
        <v>25</v>
      </c>
      <c r="J763" t="s">
        <v>22</v>
      </c>
      <c r="K763" t="s">
        <v>16</v>
      </c>
    </row>
    <row r="764" spans="1:11" x14ac:dyDescent="0.25">
      <c r="A764" t="s">
        <v>1284</v>
      </c>
      <c r="B764" t="s">
        <v>103</v>
      </c>
      <c r="C764" t="s">
        <v>1285</v>
      </c>
      <c r="D764">
        <v>714491763</v>
      </c>
      <c r="E764" t="s">
        <v>18</v>
      </c>
      <c r="F764" s="1">
        <v>45180</v>
      </c>
      <c r="G764" t="s">
        <v>35</v>
      </c>
      <c r="H764" s="2">
        <v>706.33</v>
      </c>
      <c r="I764" t="s">
        <v>444</v>
      </c>
      <c r="J764" t="s">
        <v>26</v>
      </c>
      <c r="K764" t="s">
        <v>12</v>
      </c>
    </row>
    <row r="765" spans="1:11" x14ac:dyDescent="0.25">
      <c r="A765" t="s">
        <v>1286</v>
      </c>
      <c r="B765" t="s">
        <v>27</v>
      </c>
      <c r="C765" t="s">
        <v>1287</v>
      </c>
      <c r="D765">
        <v>745334445</v>
      </c>
      <c r="E765" t="s">
        <v>18</v>
      </c>
      <c r="F765" s="1">
        <v>45346</v>
      </c>
      <c r="G765" t="s">
        <v>47</v>
      </c>
      <c r="H765" s="2">
        <v>1969.78</v>
      </c>
      <c r="I765" t="s">
        <v>25</v>
      </c>
      <c r="J765" t="s">
        <v>11</v>
      </c>
      <c r="K765" t="s">
        <v>12</v>
      </c>
    </row>
    <row r="766" spans="1:11" x14ac:dyDescent="0.25">
      <c r="A766" t="s">
        <v>794</v>
      </c>
      <c r="B766" t="s">
        <v>371</v>
      </c>
      <c r="C766" t="s">
        <v>795</v>
      </c>
      <c r="D766">
        <v>632927895</v>
      </c>
      <c r="E766" t="s">
        <v>9</v>
      </c>
      <c r="F766" s="1">
        <v>45755</v>
      </c>
      <c r="G766" t="s">
        <v>39</v>
      </c>
      <c r="H766" s="2">
        <v>1259.5</v>
      </c>
      <c r="I766" t="s">
        <v>507</v>
      </c>
      <c r="J766" t="s">
        <v>33</v>
      </c>
      <c r="K766" t="s">
        <v>16</v>
      </c>
    </row>
    <row r="767" spans="1:11" x14ac:dyDescent="0.25">
      <c r="A767" t="s">
        <v>1288</v>
      </c>
      <c r="B767" t="s">
        <v>169</v>
      </c>
      <c r="C767" t="s">
        <v>1289</v>
      </c>
      <c r="D767">
        <v>729679272</v>
      </c>
      <c r="E767" t="s">
        <v>18</v>
      </c>
      <c r="F767" s="1">
        <v>45402</v>
      </c>
      <c r="G767" t="s">
        <v>624</v>
      </c>
      <c r="H767" s="2">
        <v>1491.45</v>
      </c>
      <c r="I767" t="s">
        <v>25</v>
      </c>
      <c r="J767" t="s">
        <v>11</v>
      </c>
      <c r="K767" t="s">
        <v>16</v>
      </c>
    </row>
    <row r="768" spans="1:11" x14ac:dyDescent="0.25">
      <c r="A768" t="s">
        <v>1100</v>
      </c>
      <c r="B768" t="s">
        <v>234</v>
      </c>
      <c r="C768" t="s">
        <v>1101</v>
      </c>
      <c r="D768">
        <v>741532244</v>
      </c>
      <c r="E768" t="s">
        <v>9</v>
      </c>
      <c r="F768" s="1">
        <v>45390</v>
      </c>
      <c r="G768" t="s">
        <v>415</v>
      </c>
      <c r="H768" s="2">
        <v>659.86</v>
      </c>
      <c r="I768" t="s">
        <v>25</v>
      </c>
      <c r="J768" t="s">
        <v>33</v>
      </c>
      <c r="K768" t="s">
        <v>12</v>
      </c>
    </row>
    <row r="769" spans="1:11" x14ac:dyDescent="0.25">
      <c r="A769" t="s">
        <v>1284</v>
      </c>
      <c r="B769" t="s">
        <v>103</v>
      </c>
      <c r="C769" t="s">
        <v>1285</v>
      </c>
      <c r="D769">
        <v>714491763</v>
      </c>
      <c r="E769" t="s">
        <v>18</v>
      </c>
      <c r="F769" s="1">
        <v>45423</v>
      </c>
      <c r="G769" t="s">
        <v>35</v>
      </c>
      <c r="H769" s="2">
        <v>383.82</v>
      </c>
      <c r="I769" t="s">
        <v>25</v>
      </c>
      <c r="J769" t="s">
        <v>15</v>
      </c>
      <c r="K769" t="s">
        <v>16</v>
      </c>
    </row>
    <row r="770" spans="1:11" x14ac:dyDescent="0.25">
      <c r="A770" t="s">
        <v>885</v>
      </c>
      <c r="B770" t="s">
        <v>30</v>
      </c>
      <c r="C770" t="s">
        <v>886</v>
      </c>
      <c r="D770">
        <v>740872409</v>
      </c>
      <c r="E770" t="s">
        <v>18</v>
      </c>
      <c r="F770" s="1">
        <v>45455</v>
      </c>
      <c r="G770" t="s">
        <v>32</v>
      </c>
      <c r="H770" s="2">
        <v>229.36</v>
      </c>
      <c r="I770" t="s">
        <v>25</v>
      </c>
      <c r="J770" t="s">
        <v>11</v>
      </c>
      <c r="K770" t="s">
        <v>16</v>
      </c>
    </row>
    <row r="771" spans="1:11" x14ac:dyDescent="0.25">
      <c r="A771" t="s">
        <v>689</v>
      </c>
      <c r="B771" t="s">
        <v>402</v>
      </c>
      <c r="C771" t="s">
        <v>690</v>
      </c>
      <c r="D771">
        <v>710265150</v>
      </c>
      <c r="E771" t="s">
        <v>18</v>
      </c>
      <c r="F771" s="1">
        <v>45835</v>
      </c>
      <c r="G771" t="s">
        <v>24</v>
      </c>
      <c r="H771" s="2">
        <v>780.89</v>
      </c>
      <c r="I771" t="s">
        <v>25</v>
      </c>
      <c r="J771" t="s">
        <v>36</v>
      </c>
      <c r="K771" t="s">
        <v>12</v>
      </c>
    </row>
    <row r="772" spans="1:11" x14ac:dyDescent="0.25">
      <c r="A772" t="s">
        <v>482</v>
      </c>
      <c r="B772" t="s">
        <v>66</v>
      </c>
      <c r="C772" t="s">
        <v>483</v>
      </c>
      <c r="D772">
        <v>951987392</v>
      </c>
      <c r="E772" t="s">
        <v>9</v>
      </c>
      <c r="F772" s="1">
        <v>45494</v>
      </c>
      <c r="G772" t="s">
        <v>440</v>
      </c>
      <c r="H772" s="2">
        <v>1727.53</v>
      </c>
      <c r="I772" t="s">
        <v>507</v>
      </c>
      <c r="J772" t="s">
        <v>22</v>
      </c>
      <c r="K772" t="s">
        <v>12</v>
      </c>
    </row>
    <row r="773" spans="1:11" x14ac:dyDescent="0.25">
      <c r="A773" t="s">
        <v>1290</v>
      </c>
      <c r="B773" t="s">
        <v>256</v>
      </c>
      <c r="C773" t="s">
        <v>1291</v>
      </c>
      <c r="D773">
        <v>924230623</v>
      </c>
      <c r="E773" t="s">
        <v>9</v>
      </c>
      <c r="F773" s="1">
        <v>45456</v>
      </c>
      <c r="G773" t="s">
        <v>506</v>
      </c>
      <c r="H773" s="2">
        <v>1497.86</v>
      </c>
      <c r="I773" t="s">
        <v>25</v>
      </c>
      <c r="J773" t="s">
        <v>36</v>
      </c>
      <c r="K773" t="s">
        <v>16</v>
      </c>
    </row>
    <row r="774" spans="1:11" x14ac:dyDescent="0.25">
      <c r="A774" t="s">
        <v>1207</v>
      </c>
      <c r="B774" t="s">
        <v>243</v>
      </c>
      <c r="C774" t="s">
        <v>1208</v>
      </c>
      <c r="D774">
        <v>809355979</v>
      </c>
      <c r="E774" t="s">
        <v>9</v>
      </c>
      <c r="F774" s="1">
        <v>45738</v>
      </c>
      <c r="G774" t="s">
        <v>14</v>
      </c>
      <c r="H774" s="2">
        <v>1891.39</v>
      </c>
      <c r="I774" t="s">
        <v>25</v>
      </c>
      <c r="J774" t="s">
        <v>33</v>
      </c>
      <c r="K774" t="s">
        <v>12</v>
      </c>
    </row>
    <row r="775" spans="1:11" x14ac:dyDescent="0.25">
      <c r="A775" t="s">
        <v>1292</v>
      </c>
      <c r="B775" t="s">
        <v>1293</v>
      </c>
      <c r="C775" t="s">
        <v>1294</v>
      </c>
      <c r="D775">
        <v>660996978</v>
      </c>
      <c r="E775" t="s">
        <v>18</v>
      </c>
      <c r="F775" s="1">
        <v>45793</v>
      </c>
      <c r="G775" t="s">
        <v>14</v>
      </c>
      <c r="H775" s="2">
        <v>1113.3699999999999</v>
      </c>
      <c r="I775" t="s">
        <v>25</v>
      </c>
      <c r="J775" t="s">
        <v>11</v>
      </c>
      <c r="K775" t="s">
        <v>16</v>
      </c>
    </row>
    <row r="776" spans="1:11" x14ac:dyDescent="0.25">
      <c r="A776" t="s">
        <v>1295</v>
      </c>
      <c r="B776" t="s">
        <v>235</v>
      </c>
      <c r="C776" t="s">
        <v>1296</v>
      </c>
      <c r="D776">
        <v>910188029</v>
      </c>
      <c r="E776" t="s">
        <v>18</v>
      </c>
      <c r="F776" s="1">
        <v>45795</v>
      </c>
      <c r="G776" t="s">
        <v>440</v>
      </c>
      <c r="H776" s="2">
        <v>119.19</v>
      </c>
      <c r="I776" t="s">
        <v>25</v>
      </c>
      <c r="J776" t="s">
        <v>11</v>
      </c>
      <c r="K776" t="s">
        <v>16</v>
      </c>
    </row>
    <row r="777" spans="1:11" x14ac:dyDescent="0.25">
      <c r="A777" t="s">
        <v>1198</v>
      </c>
      <c r="B777" t="s">
        <v>1199</v>
      </c>
      <c r="C777" t="s">
        <v>1200</v>
      </c>
      <c r="D777">
        <v>927530563</v>
      </c>
      <c r="E777" t="s">
        <v>9</v>
      </c>
      <c r="F777" s="1">
        <v>45741</v>
      </c>
      <c r="G777" t="s">
        <v>440</v>
      </c>
      <c r="H777" s="2">
        <v>1090.1600000000001</v>
      </c>
      <c r="I777" t="s">
        <v>25</v>
      </c>
      <c r="J777" t="s">
        <v>22</v>
      </c>
      <c r="K777" t="s">
        <v>16</v>
      </c>
    </row>
    <row r="778" spans="1:11" x14ac:dyDescent="0.25">
      <c r="A778" t="s">
        <v>705</v>
      </c>
      <c r="B778" t="s">
        <v>165</v>
      </c>
      <c r="C778" t="s">
        <v>706</v>
      </c>
      <c r="D778">
        <v>992824041</v>
      </c>
      <c r="E778" t="s">
        <v>13</v>
      </c>
      <c r="F778" s="1">
        <v>45567</v>
      </c>
      <c r="G778" t="s">
        <v>29</v>
      </c>
      <c r="H778" s="2">
        <v>1619.71</v>
      </c>
      <c r="I778" t="s">
        <v>25</v>
      </c>
      <c r="J778" t="s">
        <v>33</v>
      </c>
      <c r="K778" t="s">
        <v>16</v>
      </c>
    </row>
    <row r="779" spans="1:11" x14ac:dyDescent="0.25">
      <c r="A779" t="s">
        <v>774</v>
      </c>
      <c r="B779" t="s">
        <v>269</v>
      </c>
      <c r="C779" t="s">
        <v>775</v>
      </c>
      <c r="D779">
        <v>741006511</v>
      </c>
      <c r="E779" t="s">
        <v>9</v>
      </c>
      <c r="F779" s="1">
        <v>45385</v>
      </c>
      <c r="G779" t="s">
        <v>451</v>
      </c>
      <c r="H779" s="2">
        <v>970.1</v>
      </c>
      <c r="I779" t="s">
        <v>25</v>
      </c>
      <c r="J779" t="s">
        <v>11</v>
      </c>
      <c r="K779" t="s">
        <v>12</v>
      </c>
    </row>
    <row r="780" spans="1:11" x14ac:dyDescent="0.25">
      <c r="A780" t="s">
        <v>1297</v>
      </c>
      <c r="B780" t="s">
        <v>247</v>
      </c>
      <c r="C780" t="s">
        <v>1298</v>
      </c>
      <c r="D780">
        <v>937405090</v>
      </c>
      <c r="E780" t="s">
        <v>13</v>
      </c>
      <c r="F780" s="1">
        <v>45516</v>
      </c>
      <c r="G780" t="s">
        <v>460</v>
      </c>
      <c r="H780" s="2">
        <v>1606.02</v>
      </c>
      <c r="I780" t="s">
        <v>25</v>
      </c>
      <c r="J780" t="s">
        <v>11</v>
      </c>
      <c r="K780" t="s">
        <v>16</v>
      </c>
    </row>
    <row r="781" spans="1:11" x14ac:dyDescent="0.25">
      <c r="A781" t="s">
        <v>774</v>
      </c>
      <c r="B781" t="s">
        <v>269</v>
      </c>
      <c r="C781" t="s">
        <v>775</v>
      </c>
      <c r="D781">
        <v>741006511</v>
      </c>
      <c r="E781" t="s">
        <v>9</v>
      </c>
      <c r="F781" s="1">
        <v>45575</v>
      </c>
      <c r="G781" t="s">
        <v>451</v>
      </c>
      <c r="H781" s="2">
        <v>632.03</v>
      </c>
      <c r="I781" t="s">
        <v>25</v>
      </c>
      <c r="J781" t="s">
        <v>22</v>
      </c>
      <c r="K781" t="s">
        <v>12</v>
      </c>
    </row>
    <row r="782" spans="1:11" x14ac:dyDescent="0.25">
      <c r="A782" t="s">
        <v>691</v>
      </c>
      <c r="B782" t="s">
        <v>361</v>
      </c>
      <c r="C782" t="s">
        <v>692</v>
      </c>
      <c r="D782">
        <v>653146228</v>
      </c>
      <c r="E782" t="s">
        <v>18</v>
      </c>
      <c r="F782" s="1">
        <v>45859</v>
      </c>
      <c r="G782" t="s">
        <v>460</v>
      </c>
      <c r="H782" s="2">
        <v>1205.5</v>
      </c>
      <c r="I782" t="s">
        <v>25</v>
      </c>
      <c r="J782" t="s">
        <v>11</v>
      </c>
      <c r="K782" t="s">
        <v>12</v>
      </c>
    </row>
    <row r="783" spans="1:11" x14ac:dyDescent="0.25">
      <c r="A783" t="s">
        <v>1205</v>
      </c>
      <c r="B783" t="s">
        <v>56</v>
      </c>
      <c r="C783" t="s">
        <v>1206</v>
      </c>
      <c r="D783">
        <v>726225372</v>
      </c>
      <c r="E783" t="s">
        <v>9</v>
      </c>
      <c r="F783" s="1">
        <v>45450</v>
      </c>
      <c r="G783" t="s">
        <v>24</v>
      </c>
      <c r="H783" s="2">
        <v>1330.77</v>
      </c>
      <c r="I783" t="s">
        <v>25</v>
      </c>
      <c r="J783" t="s">
        <v>33</v>
      </c>
      <c r="K783" t="s">
        <v>12</v>
      </c>
    </row>
    <row r="784" spans="1:11" x14ac:dyDescent="0.25">
      <c r="A784" t="s">
        <v>519</v>
      </c>
      <c r="B784" t="s">
        <v>119</v>
      </c>
      <c r="C784" t="s">
        <v>520</v>
      </c>
      <c r="D784">
        <v>706921192</v>
      </c>
      <c r="E784" t="s">
        <v>13</v>
      </c>
      <c r="F784" s="1">
        <v>45691</v>
      </c>
      <c r="G784" t="s">
        <v>24</v>
      </c>
      <c r="H784" s="2">
        <v>667.17</v>
      </c>
      <c r="I784" t="s">
        <v>25</v>
      </c>
      <c r="J784" t="s">
        <v>22</v>
      </c>
      <c r="K784" t="s">
        <v>16</v>
      </c>
    </row>
    <row r="785" spans="1:11" x14ac:dyDescent="0.25">
      <c r="A785" t="s">
        <v>1299</v>
      </c>
      <c r="B785" t="s">
        <v>193</v>
      </c>
      <c r="C785" t="s">
        <v>1300</v>
      </c>
      <c r="D785">
        <v>736322863</v>
      </c>
      <c r="E785" t="s">
        <v>18</v>
      </c>
      <c r="F785" s="1">
        <v>45650</v>
      </c>
      <c r="G785" t="s">
        <v>47</v>
      </c>
      <c r="H785" s="2">
        <v>532.97</v>
      </c>
      <c r="I785" t="s">
        <v>25</v>
      </c>
      <c r="J785" t="s">
        <v>36</v>
      </c>
      <c r="K785" t="s">
        <v>12</v>
      </c>
    </row>
    <row r="786" spans="1:11" x14ac:dyDescent="0.25">
      <c r="A786" t="s">
        <v>899</v>
      </c>
      <c r="B786" t="s">
        <v>53</v>
      </c>
      <c r="C786" t="s">
        <v>900</v>
      </c>
      <c r="D786">
        <v>728737230</v>
      </c>
      <c r="E786" t="s">
        <v>18</v>
      </c>
      <c r="F786" s="1">
        <v>45216</v>
      </c>
      <c r="G786" t="s">
        <v>32</v>
      </c>
      <c r="H786" s="2">
        <v>1831</v>
      </c>
      <c r="I786" t="s">
        <v>25</v>
      </c>
      <c r="J786" t="s">
        <v>11</v>
      </c>
      <c r="K786" t="s">
        <v>12</v>
      </c>
    </row>
    <row r="787" spans="1:11" x14ac:dyDescent="0.25">
      <c r="A787" t="s">
        <v>1301</v>
      </c>
      <c r="B787" t="s">
        <v>237</v>
      </c>
      <c r="C787" t="s">
        <v>1302</v>
      </c>
      <c r="D787">
        <v>742835812</v>
      </c>
      <c r="E787" t="s">
        <v>9</v>
      </c>
      <c r="F787" s="1">
        <v>45333</v>
      </c>
      <c r="G787" t="s">
        <v>14</v>
      </c>
      <c r="H787" s="2">
        <v>66.89</v>
      </c>
      <c r="I787" t="s">
        <v>25</v>
      </c>
      <c r="J787" t="s">
        <v>22</v>
      </c>
      <c r="K787" t="s">
        <v>16</v>
      </c>
    </row>
    <row r="788" spans="1:11" x14ac:dyDescent="0.25">
      <c r="A788" t="s">
        <v>1303</v>
      </c>
      <c r="B788" t="s">
        <v>285</v>
      </c>
      <c r="C788" t="s">
        <v>1304</v>
      </c>
      <c r="D788">
        <v>747183034</v>
      </c>
      <c r="E788" t="s">
        <v>13</v>
      </c>
      <c r="F788" s="1">
        <v>45773</v>
      </c>
      <c r="G788" t="s">
        <v>32</v>
      </c>
      <c r="H788" s="2">
        <v>730.27</v>
      </c>
      <c r="I788" t="s">
        <v>25</v>
      </c>
      <c r="J788" t="s">
        <v>11</v>
      </c>
      <c r="K788" t="s">
        <v>12</v>
      </c>
    </row>
    <row r="789" spans="1:11" x14ac:dyDescent="0.25">
      <c r="A789" t="s">
        <v>1305</v>
      </c>
      <c r="B789" t="s">
        <v>294</v>
      </c>
      <c r="C789" t="s">
        <v>1306</v>
      </c>
      <c r="D789">
        <v>682290273</v>
      </c>
      <c r="E789" t="s">
        <v>18</v>
      </c>
      <c r="F789" s="1">
        <v>45589</v>
      </c>
      <c r="G789" t="s">
        <v>10</v>
      </c>
      <c r="H789" s="2">
        <v>1260.43</v>
      </c>
      <c r="I789" t="s">
        <v>507</v>
      </c>
      <c r="J789" t="s">
        <v>11</v>
      </c>
      <c r="K789" t="s">
        <v>16</v>
      </c>
    </row>
    <row r="790" spans="1:11" x14ac:dyDescent="0.25">
      <c r="A790" t="s">
        <v>937</v>
      </c>
      <c r="B790" t="s">
        <v>364</v>
      </c>
      <c r="C790" t="s">
        <v>938</v>
      </c>
      <c r="D790">
        <v>717190176</v>
      </c>
      <c r="E790" t="s">
        <v>9</v>
      </c>
      <c r="F790" s="1">
        <v>45201</v>
      </c>
      <c r="G790" t="s">
        <v>412</v>
      </c>
      <c r="H790" s="2">
        <v>1589.97</v>
      </c>
      <c r="I790" t="s">
        <v>25</v>
      </c>
      <c r="J790" t="s">
        <v>33</v>
      </c>
      <c r="K790" t="s">
        <v>16</v>
      </c>
    </row>
    <row r="791" spans="1:11" x14ac:dyDescent="0.25">
      <c r="A791" t="s">
        <v>580</v>
      </c>
      <c r="B791" t="s">
        <v>224</v>
      </c>
      <c r="C791" t="s">
        <v>581</v>
      </c>
      <c r="D791">
        <v>866148409</v>
      </c>
      <c r="E791" t="s">
        <v>9</v>
      </c>
      <c r="F791" s="1">
        <v>45725</v>
      </c>
      <c r="G791" t="s">
        <v>506</v>
      </c>
      <c r="H791" s="2">
        <v>936.59</v>
      </c>
      <c r="I791" t="s">
        <v>25</v>
      </c>
      <c r="J791" t="s">
        <v>33</v>
      </c>
      <c r="K791" t="s">
        <v>16</v>
      </c>
    </row>
    <row r="792" spans="1:11" x14ac:dyDescent="0.25">
      <c r="A792" t="s">
        <v>1307</v>
      </c>
      <c r="B792" t="s">
        <v>1308</v>
      </c>
      <c r="C792" t="s">
        <v>1309</v>
      </c>
      <c r="D792">
        <v>899491733</v>
      </c>
      <c r="E792" t="s">
        <v>9</v>
      </c>
      <c r="F792" s="1">
        <v>45697</v>
      </c>
      <c r="G792" t="s">
        <v>518</v>
      </c>
      <c r="H792" s="2">
        <v>358.32</v>
      </c>
      <c r="I792" t="s">
        <v>25</v>
      </c>
      <c r="J792" t="s">
        <v>22</v>
      </c>
      <c r="K792" t="s">
        <v>12</v>
      </c>
    </row>
    <row r="793" spans="1:11" x14ac:dyDescent="0.25">
      <c r="A793" t="s">
        <v>1230</v>
      </c>
      <c r="B793" t="s">
        <v>168</v>
      </c>
      <c r="C793" t="s">
        <v>1231</v>
      </c>
      <c r="D793">
        <v>604558275</v>
      </c>
      <c r="E793" t="s">
        <v>18</v>
      </c>
      <c r="F793" s="1">
        <v>45218</v>
      </c>
      <c r="G793" t="s">
        <v>47</v>
      </c>
      <c r="H793" s="2">
        <v>1806.21</v>
      </c>
      <c r="I793" t="s">
        <v>25</v>
      </c>
      <c r="J793" t="s">
        <v>33</v>
      </c>
      <c r="K793" t="s">
        <v>12</v>
      </c>
    </row>
    <row r="794" spans="1:11" x14ac:dyDescent="0.25">
      <c r="A794" t="s">
        <v>711</v>
      </c>
      <c r="B794" t="s">
        <v>310</v>
      </c>
      <c r="C794" t="s">
        <v>712</v>
      </c>
      <c r="D794">
        <v>714356417</v>
      </c>
      <c r="E794" t="s">
        <v>9</v>
      </c>
      <c r="F794" s="1">
        <v>45393</v>
      </c>
      <c r="G794" t="s">
        <v>19</v>
      </c>
      <c r="H794" s="2">
        <v>534.97</v>
      </c>
      <c r="I794" t="s">
        <v>25</v>
      </c>
      <c r="J794" t="s">
        <v>22</v>
      </c>
      <c r="K794" t="s">
        <v>12</v>
      </c>
    </row>
    <row r="795" spans="1:11" x14ac:dyDescent="0.25">
      <c r="A795" t="s">
        <v>937</v>
      </c>
      <c r="B795" t="s">
        <v>364</v>
      </c>
      <c r="C795" t="s">
        <v>938</v>
      </c>
      <c r="D795">
        <v>717190176</v>
      </c>
      <c r="E795" t="s">
        <v>9</v>
      </c>
      <c r="F795" s="1">
        <v>45705</v>
      </c>
      <c r="G795" t="s">
        <v>412</v>
      </c>
      <c r="H795" s="2">
        <v>956.8</v>
      </c>
      <c r="I795" t="s">
        <v>444</v>
      </c>
      <c r="J795" t="s">
        <v>22</v>
      </c>
      <c r="K795" t="s">
        <v>16</v>
      </c>
    </row>
    <row r="796" spans="1:11" x14ac:dyDescent="0.25">
      <c r="A796" t="s">
        <v>739</v>
      </c>
      <c r="B796" t="s">
        <v>147</v>
      </c>
      <c r="C796" t="s">
        <v>740</v>
      </c>
      <c r="D796">
        <v>732688394</v>
      </c>
      <c r="E796" t="s">
        <v>9</v>
      </c>
      <c r="F796" s="1">
        <v>45541</v>
      </c>
      <c r="G796" t="s">
        <v>10</v>
      </c>
      <c r="H796" s="2">
        <v>1458.56</v>
      </c>
      <c r="I796" t="s">
        <v>25</v>
      </c>
      <c r="J796" t="s">
        <v>26</v>
      </c>
      <c r="K796" t="s">
        <v>16</v>
      </c>
    </row>
    <row r="797" spans="1:11" x14ac:dyDescent="0.25">
      <c r="A797" t="s">
        <v>436</v>
      </c>
      <c r="B797" t="s">
        <v>115</v>
      </c>
      <c r="C797" t="s">
        <v>437</v>
      </c>
      <c r="D797">
        <v>806023701</v>
      </c>
      <c r="E797" t="s">
        <v>9</v>
      </c>
      <c r="F797" s="1">
        <v>45796</v>
      </c>
      <c r="G797" t="s">
        <v>10</v>
      </c>
      <c r="H797" s="2">
        <v>749.99</v>
      </c>
      <c r="I797" t="s">
        <v>25</v>
      </c>
      <c r="J797" t="s">
        <v>33</v>
      </c>
      <c r="K797" t="s">
        <v>12</v>
      </c>
    </row>
    <row r="798" spans="1:11" x14ac:dyDescent="0.25">
      <c r="A798" t="s">
        <v>1310</v>
      </c>
      <c r="B798" t="s">
        <v>274</v>
      </c>
      <c r="C798" t="s">
        <v>1311</v>
      </c>
      <c r="D798">
        <v>636749216</v>
      </c>
      <c r="E798" t="s">
        <v>9</v>
      </c>
      <c r="F798" s="1">
        <v>45793</v>
      </c>
      <c r="G798" t="s">
        <v>24</v>
      </c>
      <c r="H798" s="2">
        <v>58.74</v>
      </c>
      <c r="I798" t="s">
        <v>25</v>
      </c>
      <c r="J798" t="s">
        <v>11</v>
      </c>
      <c r="K798" t="s">
        <v>16</v>
      </c>
    </row>
    <row r="799" spans="1:11" x14ac:dyDescent="0.25">
      <c r="A799" t="s">
        <v>729</v>
      </c>
      <c r="B799" t="s">
        <v>119</v>
      </c>
      <c r="C799" t="s">
        <v>730</v>
      </c>
      <c r="D799">
        <v>745350274</v>
      </c>
      <c r="E799" t="s">
        <v>18</v>
      </c>
      <c r="F799" s="1">
        <v>45617</v>
      </c>
      <c r="G799" t="s">
        <v>47</v>
      </c>
      <c r="H799" s="2">
        <v>88.5</v>
      </c>
      <c r="I799" t="s">
        <v>25</v>
      </c>
      <c r="J799" t="s">
        <v>11</v>
      </c>
      <c r="K799" t="s">
        <v>16</v>
      </c>
    </row>
    <row r="800" spans="1:11" x14ac:dyDescent="0.25">
      <c r="A800" t="s">
        <v>519</v>
      </c>
      <c r="B800" t="s">
        <v>119</v>
      </c>
      <c r="C800" t="s">
        <v>520</v>
      </c>
      <c r="D800">
        <v>706921192</v>
      </c>
      <c r="E800" t="s">
        <v>13</v>
      </c>
      <c r="F800" s="1">
        <v>45274</v>
      </c>
      <c r="G800" t="s">
        <v>24</v>
      </c>
      <c r="H800" s="2">
        <v>71.5</v>
      </c>
      <c r="I800" t="s">
        <v>25</v>
      </c>
      <c r="J800" t="s">
        <v>36</v>
      </c>
      <c r="K800" t="s">
        <v>12</v>
      </c>
    </row>
    <row r="801" spans="1:11" x14ac:dyDescent="0.25">
      <c r="A801" t="s">
        <v>614</v>
      </c>
      <c r="B801" t="s">
        <v>210</v>
      </c>
      <c r="C801" t="s">
        <v>615</v>
      </c>
      <c r="D801">
        <v>701528957</v>
      </c>
      <c r="E801" t="s">
        <v>18</v>
      </c>
      <c r="F801" s="1">
        <v>45561</v>
      </c>
      <c r="G801" t="s">
        <v>39</v>
      </c>
      <c r="H801" s="2">
        <v>138.9</v>
      </c>
      <c r="I801" t="s">
        <v>25</v>
      </c>
      <c r="J801" t="s">
        <v>11</v>
      </c>
      <c r="K801" t="s">
        <v>16</v>
      </c>
    </row>
    <row r="802" spans="1:11" x14ac:dyDescent="0.25">
      <c r="A802" t="s">
        <v>1312</v>
      </c>
      <c r="B802" t="s">
        <v>140</v>
      </c>
      <c r="C802" t="s">
        <v>1313</v>
      </c>
      <c r="D802">
        <v>648667212</v>
      </c>
      <c r="E802" t="s">
        <v>9</v>
      </c>
      <c r="F802" s="1">
        <v>45450</v>
      </c>
      <c r="G802" t="s">
        <v>35</v>
      </c>
      <c r="H802" s="2">
        <v>1490.04</v>
      </c>
      <c r="I802" t="s">
        <v>25</v>
      </c>
      <c r="J802" t="s">
        <v>22</v>
      </c>
      <c r="K802" t="s">
        <v>16</v>
      </c>
    </row>
    <row r="803" spans="1:11" x14ac:dyDescent="0.25">
      <c r="A803" t="s">
        <v>1143</v>
      </c>
      <c r="B803" t="s">
        <v>198</v>
      </c>
      <c r="C803" t="s">
        <v>1144</v>
      </c>
      <c r="D803">
        <v>828808869</v>
      </c>
      <c r="E803" t="s">
        <v>9</v>
      </c>
      <c r="F803" s="1">
        <v>45476</v>
      </c>
      <c r="G803" t="s">
        <v>418</v>
      </c>
      <c r="H803" s="2">
        <v>1900.24</v>
      </c>
      <c r="I803" t="s">
        <v>25</v>
      </c>
      <c r="J803" t="s">
        <v>11</v>
      </c>
      <c r="K803" t="s">
        <v>12</v>
      </c>
    </row>
    <row r="804" spans="1:11" x14ac:dyDescent="0.25">
      <c r="A804" t="s">
        <v>713</v>
      </c>
      <c r="B804" t="s">
        <v>82</v>
      </c>
      <c r="C804" t="s">
        <v>714</v>
      </c>
      <c r="D804">
        <v>708352673</v>
      </c>
      <c r="E804" t="s">
        <v>9</v>
      </c>
      <c r="F804" s="1">
        <v>45859</v>
      </c>
      <c r="G804" t="s">
        <v>14</v>
      </c>
      <c r="H804" s="2">
        <v>403.29</v>
      </c>
      <c r="I804" t="s">
        <v>25</v>
      </c>
      <c r="J804" t="s">
        <v>36</v>
      </c>
      <c r="K804" t="s">
        <v>12</v>
      </c>
    </row>
    <row r="805" spans="1:11" x14ac:dyDescent="0.25">
      <c r="A805" t="s">
        <v>826</v>
      </c>
      <c r="B805" t="s">
        <v>298</v>
      </c>
      <c r="C805" t="s">
        <v>827</v>
      </c>
      <c r="D805">
        <v>737710108</v>
      </c>
      <c r="E805" t="s">
        <v>9</v>
      </c>
      <c r="F805" s="1">
        <v>45594</v>
      </c>
      <c r="G805" t="s">
        <v>478</v>
      </c>
      <c r="H805" s="2">
        <v>962.7</v>
      </c>
      <c r="I805" t="s">
        <v>25</v>
      </c>
      <c r="J805" t="s">
        <v>33</v>
      </c>
      <c r="K805" t="s">
        <v>12</v>
      </c>
    </row>
    <row r="806" spans="1:11" x14ac:dyDescent="0.25">
      <c r="A806" t="s">
        <v>1314</v>
      </c>
      <c r="B806" t="s">
        <v>296</v>
      </c>
      <c r="C806" t="s">
        <v>1315</v>
      </c>
      <c r="D806">
        <v>731451704</v>
      </c>
      <c r="E806" t="s">
        <v>9</v>
      </c>
      <c r="F806" s="1">
        <v>45647</v>
      </c>
      <c r="G806" t="s">
        <v>423</v>
      </c>
      <c r="H806" s="2">
        <v>1040.8900000000001</v>
      </c>
      <c r="I806" t="s">
        <v>25</v>
      </c>
      <c r="J806" t="s">
        <v>36</v>
      </c>
      <c r="K806" t="s">
        <v>16</v>
      </c>
    </row>
    <row r="807" spans="1:11" x14ac:dyDescent="0.25">
      <c r="A807" t="s">
        <v>1316</v>
      </c>
      <c r="B807" t="s">
        <v>229</v>
      </c>
      <c r="C807" t="s">
        <v>1317</v>
      </c>
      <c r="D807">
        <v>746601492</v>
      </c>
      <c r="E807" t="s">
        <v>9</v>
      </c>
      <c r="F807" s="1">
        <v>45614</v>
      </c>
      <c r="G807" t="s">
        <v>415</v>
      </c>
      <c r="H807" s="2">
        <v>28.81</v>
      </c>
      <c r="I807" t="s">
        <v>25</v>
      </c>
      <c r="J807" t="s">
        <v>22</v>
      </c>
      <c r="K807" t="s">
        <v>12</v>
      </c>
    </row>
    <row r="808" spans="1:11" x14ac:dyDescent="0.25">
      <c r="A808" t="s">
        <v>883</v>
      </c>
      <c r="B808" t="s">
        <v>335</v>
      </c>
      <c r="C808" t="s">
        <v>884</v>
      </c>
      <c r="D808">
        <v>707057282</v>
      </c>
      <c r="E808" t="s">
        <v>13</v>
      </c>
      <c r="F808" s="1">
        <v>45863</v>
      </c>
      <c r="G808" t="s">
        <v>24</v>
      </c>
      <c r="H808" s="2">
        <v>1472.26</v>
      </c>
      <c r="I808" t="s">
        <v>25</v>
      </c>
      <c r="J808" t="s">
        <v>11</v>
      </c>
      <c r="K808" t="s">
        <v>12</v>
      </c>
    </row>
    <row r="809" spans="1:11" x14ac:dyDescent="0.25">
      <c r="A809" t="s">
        <v>1318</v>
      </c>
      <c r="B809" t="s">
        <v>1319</v>
      </c>
      <c r="C809" t="s">
        <v>1320</v>
      </c>
      <c r="D809">
        <v>947659636</v>
      </c>
      <c r="E809" t="s">
        <v>18</v>
      </c>
      <c r="F809" s="1">
        <v>45710</v>
      </c>
      <c r="G809" t="s">
        <v>624</v>
      </c>
      <c r="H809" s="2">
        <v>1214.49</v>
      </c>
      <c r="I809" t="s">
        <v>25</v>
      </c>
      <c r="J809" t="s">
        <v>11</v>
      </c>
      <c r="K809" t="s">
        <v>16</v>
      </c>
    </row>
    <row r="810" spans="1:11" x14ac:dyDescent="0.25">
      <c r="A810" t="s">
        <v>1321</v>
      </c>
      <c r="B810" t="s">
        <v>122</v>
      </c>
      <c r="C810" t="s">
        <v>1322</v>
      </c>
      <c r="D810">
        <v>809782522</v>
      </c>
      <c r="E810" t="s">
        <v>9</v>
      </c>
      <c r="F810" s="1">
        <v>45385</v>
      </c>
      <c r="G810" t="s">
        <v>412</v>
      </c>
      <c r="H810" s="2">
        <v>430.16</v>
      </c>
      <c r="I810" t="s">
        <v>444</v>
      </c>
      <c r="J810" t="s">
        <v>11</v>
      </c>
      <c r="K810" t="s">
        <v>16</v>
      </c>
    </row>
    <row r="811" spans="1:11" x14ac:dyDescent="0.25">
      <c r="A811" t="s">
        <v>699</v>
      </c>
      <c r="B811" t="s">
        <v>167</v>
      </c>
      <c r="C811" t="s">
        <v>700</v>
      </c>
      <c r="D811">
        <v>734216317</v>
      </c>
      <c r="E811" t="s">
        <v>9</v>
      </c>
      <c r="F811" s="1">
        <v>45806</v>
      </c>
      <c r="G811" t="s">
        <v>475</v>
      </c>
      <c r="H811" s="2">
        <v>1490.17</v>
      </c>
      <c r="I811" t="s">
        <v>25</v>
      </c>
      <c r="J811" t="s">
        <v>22</v>
      </c>
      <c r="K811" t="s">
        <v>12</v>
      </c>
    </row>
    <row r="812" spans="1:11" x14ac:dyDescent="0.25">
      <c r="A812" t="s">
        <v>629</v>
      </c>
      <c r="B812" t="s">
        <v>62</v>
      </c>
      <c r="C812" t="s">
        <v>630</v>
      </c>
      <c r="D812">
        <v>649943369</v>
      </c>
      <c r="E812" t="s">
        <v>18</v>
      </c>
      <c r="F812" s="1">
        <v>45706</v>
      </c>
      <c r="G812" t="s">
        <v>21</v>
      </c>
      <c r="H812" s="2">
        <v>1053.26</v>
      </c>
      <c r="I812" t="s">
        <v>25</v>
      </c>
      <c r="J812" t="s">
        <v>11</v>
      </c>
      <c r="K812" t="s">
        <v>12</v>
      </c>
    </row>
    <row r="813" spans="1:11" x14ac:dyDescent="0.25">
      <c r="A813" t="s">
        <v>1323</v>
      </c>
      <c r="B813" t="s">
        <v>587</v>
      </c>
      <c r="C813" t="s">
        <v>1324</v>
      </c>
      <c r="D813">
        <v>701538350</v>
      </c>
      <c r="E813" t="s">
        <v>9</v>
      </c>
      <c r="F813" s="1">
        <v>45516</v>
      </c>
      <c r="G813" t="s">
        <v>412</v>
      </c>
      <c r="H813" s="2">
        <v>195.51</v>
      </c>
      <c r="I813" t="s">
        <v>444</v>
      </c>
      <c r="J813" t="s">
        <v>26</v>
      </c>
      <c r="K813" t="s">
        <v>16</v>
      </c>
    </row>
    <row r="814" spans="1:11" x14ac:dyDescent="0.25">
      <c r="A814" t="s">
        <v>1284</v>
      </c>
      <c r="B814" t="s">
        <v>103</v>
      </c>
      <c r="C814" t="s">
        <v>1285</v>
      </c>
      <c r="D814">
        <v>714491763</v>
      </c>
      <c r="E814" t="s">
        <v>18</v>
      </c>
      <c r="F814" s="1">
        <v>45323</v>
      </c>
      <c r="G814" t="s">
        <v>35</v>
      </c>
      <c r="H814" s="2">
        <v>825.62</v>
      </c>
      <c r="I814" t="s">
        <v>25</v>
      </c>
      <c r="J814" t="s">
        <v>11</v>
      </c>
      <c r="K814" t="s">
        <v>12</v>
      </c>
    </row>
    <row r="815" spans="1:11" x14ac:dyDescent="0.25">
      <c r="A815" t="s">
        <v>749</v>
      </c>
      <c r="B815" t="s">
        <v>750</v>
      </c>
      <c r="C815" t="s">
        <v>751</v>
      </c>
      <c r="D815">
        <v>703436635</v>
      </c>
      <c r="E815" t="s">
        <v>9</v>
      </c>
      <c r="F815" s="1">
        <v>45243</v>
      </c>
      <c r="G815" t="s">
        <v>506</v>
      </c>
      <c r="H815" s="2">
        <v>1127.45</v>
      </c>
      <c r="I815" t="s">
        <v>25</v>
      </c>
      <c r="J815" t="s">
        <v>33</v>
      </c>
      <c r="K815" t="s">
        <v>16</v>
      </c>
    </row>
    <row r="816" spans="1:11" x14ac:dyDescent="0.25">
      <c r="A816" t="s">
        <v>1325</v>
      </c>
      <c r="B816" t="s">
        <v>1216</v>
      </c>
      <c r="C816" t="s">
        <v>1326</v>
      </c>
      <c r="D816">
        <v>841242864</v>
      </c>
      <c r="E816" t="s">
        <v>18</v>
      </c>
      <c r="F816" s="1">
        <v>45322</v>
      </c>
      <c r="G816" t="s">
        <v>603</v>
      </c>
      <c r="H816" s="2">
        <v>503.33</v>
      </c>
      <c r="I816" t="s">
        <v>25</v>
      </c>
      <c r="J816" t="s">
        <v>11</v>
      </c>
      <c r="K816" t="s">
        <v>12</v>
      </c>
    </row>
    <row r="817" spans="1:11" x14ac:dyDescent="0.25">
      <c r="A817" t="s">
        <v>864</v>
      </c>
      <c r="B817" t="s">
        <v>30</v>
      </c>
      <c r="C817" t="s">
        <v>865</v>
      </c>
      <c r="D817">
        <v>803943952</v>
      </c>
      <c r="E817" t="s">
        <v>13</v>
      </c>
      <c r="F817" s="1">
        <v>45758</v>
      </c>
      <c r="G817" t="s">
        <v>423</v>
      </c>
      <c r="H817" s="2">
        <v>981.08</v>
      </c>
      <c r="I817" t="s">
        <v>507</v>
      </c>
      <c r="J817" t="s">
        <v>36</v>
      </c>
      <c r="K817" t="s">
        <v>12</v>
      </c>
    </row>
    <row r="818" spans="1:11" x14ac:dyDescent="0.25">
      <c r="A818" t="s">
        <v>1265</v>
      </c>
      <c r="B818" t="s">
        <v>86</v>
      </c>
      <c r="C818" t="s">
        <v>1266</v>
      </c>
      <c r="D818">
        <v>721786256</v>
      </c>
      <c r="E818" t="s">
        <v>9</v>
      </c>
      <c r="F818" s="1">
        <v>45545</v>
      </c>
      <c r="G818" t="s">
        <v>423</v>
      </c>
      <c r="H818" s="2">
        <v>1647.85</v>
      </c>
      <c r="I818" t="s">
        <v>25</v>
      </c>
      <c r="J818" t="s">
        <v>22</v>
      </c>
      <c r="K818" t="s">
        <v>12</v>
      </c>
    </row>
    <row r="819" spans="1:11" x14ac:dyDescent="0.25">
      <c r="A819" t="s">
        <v>887</v>
      </c>
      <c r="B819" t="s">
        <v>151</v>
      </c>
      <c r="C819" t="s">
        <v>888</v>
      </c>
      <c r="D819">
        <v>924134952</v>
      </c>
      <c r="E819" t="s">
        <v>18</v>
      </c>
      <c r="F819" s="1">
        <v>45701</v>
      </c>
      <c r="G819" t="s">
        <v>412</v>
      </c>
      <c r="H819" s="2">
        <v>1167.21</v>
      </c>
      <c r="I819" t="s">
        <v>25</v>
      </c>
      <c r="J819" t="s">
        <v>33</v>
      </c>
      <c r="K819" t="s">
        <v>12</v>
      </c>
    </row>
    <row r="820" spans="1:11" x14ac:dyDescent="0.25">
      <c r="A820" t="s">
        <v>541</v>
      </c>
      <c r="B820" t="s">
        <v>370</v>
      </c>
      <c r="C820" t="s">
        <v>542</v>
      </c>
      <c r="D820">
        <v>705986638</v>
      </c>
      <c r="E820" t="s">
        <v>9</v>
      </c>
      <c r="F820" s="1">
        <v>45764</v>
      </c>
      <c r="G820" t="s">
        <v>47</v>
      </c>
      <c r="H820" s="2">
        <v>1213.9100000000001</v>
      </c>
      <c r="I820" t="s">
        <v>25</v>
      </c>
      <c r="J820" t="s">
        <v>22</v>
      </c>
      <c r="K820" t="s">
        <v>16</v>
      </c>
    </row>
    <row r="821" spans="1:11" x14ac:dyDescent="0.25">
      <c r="A821" t="s">
        <v>723</v>
      </c>
      <c r="B821" t="s">
        <v>63</v>
      </c>
      <c r="C821" t="s">
        <v>724</v>
      </c>
      <c r="D821">
        <v>819517980</v>
      </c>
      <c r="E821" t="s">
        <v>13</v>
      </c>
      <c r="F821" s="1">
        <v>45651</v>
      </c>
      <c r="G821" t="s">
        <v>423</v>
      </c>
      <c r="H821" s="2">
        <v>58.54</v>
      </c>
      <c r="I821" t="s">
        <v>25</v>
      </c>
      <c r="J821" t="s">
        <v>11</v>
      </c>
      <c r="K821" t="s">
        <v>12</v>
      </c>
    </row>
    <row r="822" spans="1:11" x14ac:dyDescent="0.25">
      <c r="A822" t="s">
        <v>504</v>
      </c>
      <c r="B822" t="s">
        <v>178</v>
      </c>
      <c r="C822" t="s">
        <v>505</v>
      </c>
      <c r="D822">
        <v>733805530</v>
      </c>
      <c r="E822" t="s">
        <v>18</v>
      </c>
      <c r="F822" s="1">
        <v>45244</v>
      </c>
      <c r="G822" t="s">
        <v>506</v>
      </c>
      <c r="H822" s="2">
        <v>35.590000000000003</v>
      </c>
      <c r="I822" t="s">
        <v>25</v>
      </c>
      <c r="J822" t="s">
        <v>22</v>
      </c>
      <c r="K822" t="s">
        <v>16</v>
      </c>
    </row>
    <row r="823" spans="1:11" x14ac:dyDescent="0.25">
      <c r="A823" t="s">
        <v>681</v>
      </c>
      <c r="B823" t="s">
        <v>138</v>
      </c>
      <c r="C823" t="s">
        <v>682</v>
      </c>
      <c r="D823">
        <v>746643710</v>
      </c>
      <c r="E823" t="s">
        <v>13</v>
      </c>
      <c r="F823" s="1">
        <v>45674</v>
      </c>
      <c r="G823" t="s">
        <v>478</v>
      </c>
      <c r="H823" s="2">
        <v>1837.03</v>
      </c>
      <c r="I823" t="s">
        <v>25</v>
      </c>
      <c r="J823" t="s">
        <v>22</v>
      </c>
      <c r="K823" t="s">
        <v>12</v>
      </c>
    </row>
    <row r="824" spans="1:11" x14ac:dyDescent="0.25">
      <c r="A824" t="s">
        <v>486</v>
      </c>
      <c r="B824" t="s">
        <v>386</v>
      </c>
      <c r="C824" t="s">
        <v>487</v>
      </c>
      <c r="D824">
        <v>744875696</v>
      </c>
      <c r="E824" t="s">
        <v>13</v>
      </c>
      <c r="F824" s="1">
        <v>45628</v>
      </c>
      <c r="G824" t="s">
        <v>47</v>
      </c>
      <c r="H824" s="2">
        <v>1147.4000000000001</v>
      </c>
      <c r="I824" t="s">
        <v>25</v>
      </c>
      <c r="J824" t="s">
        <v>11</v>
      </c>
      <c r="K824" t="s">
        <v>16</v>
      </c>
    </row>
    <row r="825" spans="1:11" x14ac:dyDescent="0.25">
      <c r="A825" t="s">
        <v>1327</v>
      </c>
      <c r="B825" t="s">
        <v>118</v>
      </c>
      <c r="C825" t="s">
        <v>1328</v>
      </c>
      <c r="D825">
        <v>740719365</v>
      </c>
      <c r="E825" t="s">
        <v>9</v>
      </c>
      <c r="F825" s="1">
        <v>45482</v>
      </c>
      <c r="G825" t="s">
        <v>603</v>
      </c>
      <c r="H825" s="2">
        <v>712.26</v>
      </c>
      <c r="I825" t="s">
        <v>25</v>
      </c>
      <c r="J825" t="s">
        <v>36</v>
      </c>
      <c r="K825" t="s">
        <v>12</v>
      </c>
    </row>
    <row r="826" spans="1:11" x14ac:dyDescent="0.25">
      <c r="A826" t="s">
        <v>1329</v>
      </c>
      <c r="B826" t="s">
        <v>132</v>
      </c>
      <c r="C826" t="s">
        <v>1330</v>
      </c>
      <c r="D826">
        <v>967429433</v>
      </c>
      <c r="E826" t="s">
        <v>18</v>
      </c>
      <c r="F826" s="1">
        <v>45303</v>
      </c>
      <c r="G826" t="s">
        <v>19</v>
      </c>
      <c r="H826" s="2">
        <v>889.79</v>
      </c>
      <c r="I826" t="s">
        <v>25</v>
      </c>
      <c r="J826" t="s">
        <v>33</v>
      </c>
      <c r="K826" t="s">
        <v>12</v>
      </c>
    </row>
    <row r="827" spans="1:11" x14ac:dyDescent="0.25">
      <c r="A827" t="s">
        <v>424</v>
      </c>
      <c r="B827" t="s">
        <v>137</v>
      </c>
      <c r="C827" t="s">
        <v>425</v>
      </c>
      <c r="D827">
        <v>733868257</v>
      </c>
      <c r="E827" t="s">
        <v>18</v>
      </c>
      <c r="F827" s="1">
        <v>45452</v>
      </c>
      <c r="G827" t="s">
        <v>415</v>
      </c>
      <c r="H827" s="2">
        <v>1837.26</v>
      </c>
      <c r="I827" t="s">
        <v>25</v>
      </c>
      <c r="J827" t="s">
        <v>36</v>
      </c>
      <c r="K827" t="s">
        <v>16</v>
      </c>
    </row>
    <row r="828" spans="1:11" x14ac:dyDescent="0.25">
      <c r="A828" t="s">
        <v>839</v>
      </c>
      <c r="B828" t="s">
        <v>236</v>
      </c>
      <c r="C828" t="s">
        <v>840</v>
      </c>
      <c r="D828">
        <v>710165186</v>
      </c>
      <c r="E828" t="s">
        <v>9</v>
      </c>
      <c r="F828" s="1">
        <v>45245</v>
      </c>
      <c r="G828" t="s">
        <v>32</v>
      </c>
      <c r="H828" s="2">
        <v>1447.31</v>
      </c>
      <c r="I828" t="s">
        <v>25</v>
      </c>
      <c r="J828" t="s">
        <v>22</v>
      </c>
      <c r="K828" t="s">
        <v>12</v>
      </c>
    </row>
    <row r="829" spans="1:11" x14ac:dyDescent="0.25">
      <c r="A829" t="s">
        <v>1213</v>
      </c>
      <c r="B829" t="s">
        <v>284</v>
      </c>
      <c r="C829" t="s">
        <v>1214</v>
      </c>
      <c r="D829">
        <v>701336805</v>
      </c>
      <c r="E829" t="s">
        <v>18</v>
      </c>
      <c r="F829" s="1">
        <v>45856</v>
      </c>
      <c r="G829" t="s">
        <v>21</v>
      </c>
      <c r="H829" s="2">
        <v>1914.87</v>
      </c>
      <c r="I829" t="s">
        <v>25</v>
      </c>
      <c r="J829" t="s">
        <v>22</v>
      </c>
      <c r="K829" t="s">
        <v>12</v>
      </c>
    </row>
    <row r="830" spans="1:11" x14ac:dyDescent="0.25">
      <c r="A830" t="s">
        <v>1006</v>
      </c>
      <c r="B830" t="s">
        <v>143</v>
      </c>
      <c r="C830" t="s">
        <v>1007</v>
      </c>
      <c r="D830">
        <v>892885525</v>
      </c>
      <c r="E830" t="s">
        <v>18</v>
      </c>
      <c r="F830" s="1">
        <v>45439</v>
      </c>
      <c r="G830" t="s">
        <v>47</v>
      </c>
      <c r="H830" s="2">
        <v>715.64</v>
      </c>
      <c r="I830" t="s">
        <v>444</v>
      </c>
      <c r="J830" t="s">
        <v>11</v>
      </c>
      <c r="K830" t="s">
        <v>12</v>
      </c>
    </row>
    <row r="831" spans="1:11" x14ac:dyDescent="0.25">
      <c r="A831" t="s">
        <v>986</v>
      </c>
      <c r="B831" t="s">
        <v>302</v>
      </c>
      <c r="C831" t="s">
        <v>987</v>
      </c>
      <c r="D831">
        <v>961014302</v>
      </c>
      <c r="E831" t="s">
        <v>18</v>
      </c>
      <c r="F831" s="1">
        <v>45401</v>
      </c>
      <c r="G831" t="s">
        <v>624</v>
      </c>
      <c r="H831" s="2">
        <v>446.62</v>
      </c>
      <c r="I831" t="s">
        <v>25</v>
      </c>
      <c r="J831" t="s">
        <v>11</v>
      </c>
      <c r="K831" t="s">
        <v>16</v>
      </c>
    </row>
    <row r="832" spans="1:11" x14ac:dyDescent="0.25">
      <c r="A832" t="s">
        <v>529</v>
      </c>
      <c r="B832" t="s">
        <v>31</v>
      </c>
      <c r="C832" t="s">
        <v>530</v>
      </c>
      <c r="D832">
        <v>699922916</v>
      </c>
      <c r="E832" t="s">
        <v>9</v>
      </c>
      <c r="F832" s="1">
        <v>45358</v>
      </c>
      <c r="G832" t="s">
        <v>29</v>
      </c>
      <c r="H832" s="2">
        <v>1153.06</v>
      </c>
      <c r="I832" t="s">
        <v>25</v>
      </c>
      <c r="J832" t="s">
        <v>22</v>
      </c>
      <c r="K832" t="s">
        <v>12</v>
      </c>
    </row>
    <row r="833" spans="1:11" x14ac:dyDescent="0.25">
      <c r="A833" t="s">
        <v>1331</v>
      </c>
      <c r="B833" t="s">
        <v>1332</v>
      </c>
      <c r="C833" t="s">
        <v>1333</v>
      </c>
      <c r="D833">
        <v>713494387</v>
      </c>
      <c r="E833" t="s">
        <v>9</v>
      </c>
      <c r="F833" s="1">
        <v>45893</v>
      </c>
      <c r="G833" t="s">
        <v>415</v>
      </c>
      <c r="H833" s="2">
        <v>635.51</v>
      </c>
      <c r="I833" t="s">
        <v>25</v>
      </c>
      <c r="J833" t="s">
        <v>11</v>
      </c>
      <c r="K833" t="s">
        <v>16</v>
      </c>
    </row>
    <row r="834" spans="1:11" x14ac:dyDescent="0.25">
      <c r="A834" t="s">
        <v>1334</v>
      </c>
      <c r="B834" t="s">
        <v>1293</v>
      </c>
      <c r="C834" t="s">
        <v>1335</v>
      </c>
      <c r="D834">
        <v>990539729</v>
      </c>
      <c r="E834" t="s">
        <v>9</v>
      </c>
      <c r="F834" s="1">
        <v>45882</v>
      </c>
      <c r="G834" t="s">
        <v>14</v>
      </c>
      <c r="H834" s="2">
        <v>1300.8</v>
      </c>
      <c r="I834" t="s">
        <v>25</v>
      </c>
      <c r="J834" t="s">
        <v>22</v>
      </c>
      <c r="K834" t="s">
        <v>12</v>
      </c>
    </row>
    <row r="835" spans="1:11" x14ac:dyDescent="0.25">
      <c r="A835" t="s">
        <v>1336</v>
      </c>
      <c r="B835" t="s">
        <v>231</v>
      </c>
      <c r="C835" t="s">
        <v>1337</v>
      </c>
      <c r="D835">
        <v>712187897</v>
      </c>
      <c r="E835" t="s">
        <v>9</v>
      </c>
      <c r="F835" s="1">
        <v>45664</v>
      </c>
      <c r="G835" t="s">
        <v>14</v>
      </c>
      <c r="H835" s="2">
        <v>1161.32</v>
      </c>
      <c r="I835" t="s">
        <v>25</v>
      </c>
      <c r="J835" t="s">
        <v>33</v>
      </c>
      <c r="K835" t="s">
        <v>16</v>
      </c>
    </row>
    <row r="836" spans="1:11" x14ac:dyDescent="0.25">
      <c r="A836" t="s">
        <v>901</v>
      </c>
      <c r="B836" t="s">
        <v>267</v>
      </c>
      <c r="C836" t="s">
        <v>902</v>
      </c>
      <c r="D836">
        <v>741519428</v>
      </c>
      <c r="E836" t="s">
        <v>9</v>
      </c>
      <c r="F836" s="1">
        <v>45653</v>
      </c>
      <c r="G836" t="s">
        <v>35</v>
      </c>
      <c r="H836" s="2">
        <v>1105.26</v>
      </c>
      <c r="I836" t="s">
        <v>25</v>
      </c>
      <c r="J836" t="s">
        <v>33</v>
      </c>
      <c r="K836" t="s">
        <v>12</v>
      </c>
    </row>
    <row r="837" spans="1:11" x14ac:dyDescent="0.25">
      <c r="A837" t="s">
        <v>1247</v>
      </c>
      <c r="B837" t="s">
        <v>654</v>
      </c>
      <c r="C837" t="s">
        <v>1248</v>
      </c>
      <c r="D837">
        <v>738123474</v>
      </c>
      <c r="E837" t="s">
        <v>9</v>
      </c>
      <c r="F837" s="1">
        <v>45696</v>
      </c>
      <c r="G837" t="s">
        <v>624</v>
      </c>
      <c r="H837" s="2">
        <v>972.79</v>
      </c>
      <c r="I837" t="s">
        <v>25</v>
      </c>
      <c r="J837" t="s">
        <v>22</v>
      </c>
      <c r="K837" t="s">
        <v>16</v>
      </c>
    </row>
    <row r="838" spans="1:11" x14ac:dyDescent="0.25">
      <c r="A838" t="s">
        <v>816</v>
      </c>
      <c r="B838" t="s">
        <v>264</v>
      </c>
      <c r="C838" t="s">
        <v>817</v>
      </c>
      <c r="D838">
        <v>705449727</v>
      </c>
      <c r="E838" t="s">
        <v>9</v>
      </c>
      <c r="F838" s="1">
        <v>45493</v>
      </c>
      <c r="G838" t="s">
        <v>440</v>
      </c>
      <c r="H838" s="2">
        <v>158.35</v>
      </c>
      <c r="I838" t="s">
        <v>25</v>
      </c>
      <c r="J838" t="s">
        <v>22</v>
      </c>
      <c r="K838" t="s">
        <v>12</v>
      </c>
    </row>
    <row r="839" spans="1:11" x14ac:dyDescent="0.25">
      <c r="A839" t="s">
        <v>1066</v>
      </c>
      <c r="B839" t="s">
        <v>164</v>
      </c>
      <c r="C839" t="s">
        <v>1067</v>
      </c>
      <c r="D839">
        <v>722204395</v>
      </c>
      <c r="E839" t="s">
        <v>9</v>
      </c>
      <c r="F839" s="1">
        <v>45694</v>
      </c>
      <c r="G839" t="s">
        <v>475</v>
      </c>
      <c r="H839" s="2">
        <v>336.53</v>
      </c>
      <c r="I839" t="s">
        <v>25</v>
      </c>
      <c r="J839" t="s">
        <v>22</v>
      </c>
      <c r="K839" t="s">
        <v>16</v>
      </c>
    </row>
    <row r="840" spans="1:11" x14ac:dyDescent="0.25">
      <c r="A840" t="s">
        <v>1036</v>
      </c>
      <c r="B840" t="s">
        <v>193</v>
      </c>
      <c r="C840" t="s">
        <v>1037</v>
      </c>
      <c r="D840">
        <v>716805697</v>
      </c>
      <c r="E840" t="s">
        <v>9</v>
      </c>
      <c r="F840" s="1">
        <v>45842</v>
      </c>
      <c r="G840" t="s">
        <v>21</v>
      </c>
      <c r="H840" s="2">
        <v>1275.32</v>
      </c>
      <c r="I840" t="s">
        <v>25</v>
      </c>
      <c r="J840" t="s">
        <v>22</v>
      </c>
      <c r="K840" t="s">
        <v>16</v>
      </c>
    </row>
    <row r="841" spans="1:11" x14ac:dyDescent="0.25">
      <c r="A841" t="s">
        <v>968</v>
      </c>
      <c r="B841" t="s">
        <v>148</v>
      </c>
      <c r="C841" t="s">
        <v>969</v>
      </c>
      <c r="D841">
        <v>678540300</v>
      </c>
      <c r="E841" t="s">
        <v>9</v>
      </c>
      <c r="F841" s="1">
        <v>45257</v>
      </c>
      <c r="G841" t="s">
        <v>10</v>
      </c>
      <c r="H841" s="2">
        <v>59.66</v>
      </c>
      <c r="I841" t="s">
        <v>25</v>
      </c>
      <c r="J841" t="s">
        <v>33</v>
      </c>
      <c r="K841" t="s">
        <v>12</v>
      </c>
    </row>
    <row r="842" spans="1:11" x14ac:dyDescent="0.25">
      <c r="A842" t="s">
        <v>557</v>
      </c>
      <c r="B842" t="s">
        <v>558</v>
      </c>
      <c r="C842" t="s">
        <v>559</v>
      </c>
      <c r="D842">
        <v>719919620</v>
      </c>
      <c r="E842" t="s">
        <v>9</v>
      </c>
      <c r="F842" s="1">
        <v>45437</v>
      </c>
      <c r="G842" t="s">
        <v>478</v>
      </c>
      <c r="H842" s="2">
        <v>1640.99</v>
      </c>
      <c r="I842" t="s">
        <v>25</v>
      </c>
      <c r="J842" t="s">
        <v>26</v>
      </c>
      <c r="K842" t="s">
        <v>12</v>
      </c>
    </row>
    <row r="843" spans="1:11" x14ac:dyDescent="0.25">
      <c r="A843" t="s">
        <v>804</v>
      </c>
      <c r="B843" t="s">
        <v>45</v>
      </c>
      <c r="C843" t="s">
        <v>805</v>
      </c>
      <c r="D843">
        <v>716908291</v>
      </c>
      <c r="E843" t="s">
        <v>9</v>
      </c>
      <c r="F843" s="1">
        <v>45468</v>
      </c>
      <c r="G843" t="s">
        <v>451</v>
      </c>
      <c r="H843" s="2">
        <v>1209.3499999999999</v>
      </c>
      <c r="I843" t="s">
        <v>25</v>
      </c>
      <c r="J843" t="s">
        <v>33</v>
      </c>
      <c r="K843" t="s">
        <v>16</v>
      </c>
    </row>
    <row r="844" spans="1:11" x14ac:dyDescent="0.25">
      <c r="A844" t="s">
        <v>1247</v>
      </c>
      <c r="B844" t="s">
        <v>654</v>
      </c>
      <c r="C844" t="s">
        <v>1248</v>
      </c>
      <c r="D844">
        <v>738123474</v>
      </c>
      <c r="E844" t="s">
        <v>9</v>
      </c>
      <c r="F844" s="1">
        <v>45417</v>
      </c>
      <c r="G844" t="s">
        <v>624</v>
      </c>
      <c r="H844" s="2">
        <v>368.49</v>
      </c>
      <c r="I844" t="s">
        <v>25</v>
      </c>
      <c r="J844" t="s">
        <v>22</v>
      </c>
      <c r="K844" t="s">
        <v>12</v>
      </c>
    </row>
    <row r="845" spans="1:11" x14ac:dyDescent="0.25">
      <c r="A845" t="s">
        <v>647</v>
      </c>
      <c r="B845" t="s">
        <v>225</v>
      </c>
      <c r="C845" t="s">
        <v>648</v>
      </c>
      <c r="D845">
        <v>979540496</v>
      </c>
      <c r="E845" t="s">
        <v>9</v>
      </c>
      <c r="F845" s="1">
        <v>45702</v>
      </c>
      <c r="G845" t="s">
        <v>423</v>
      </c>
      <c r="H845" s="2">
        <v>1885.3</v>
      </c>
      <c r="I845" t="s">
        <v>507</v>
      </c>
      <c r="J845" t="s">
        <v>33</v>
      </c>
      <c r="K845" t="s">
        <v>16</v>
      </c>
    </row>
    <row r="846" spans="1:11" x14ac:dyDescent="0.25">
      <c r="A846" t="s">
        <v>1338</v>
      </c>
      <c r="B846" t="s">
        <v>350</v>
      </c>
      <c r="C846" t="s">
        <v>1339</v>
      </c>
      <c r="D846">
        <v>713916093</v>
      </c>
      <c r="E846" t="s">
        <v>9</v>
      </c>
      <c r="F846" s="1">
        <v>45219</v>
      </c>
      <c r="G846" t="s">
        <v>423</v>
      </c>
      <c r="H846" s="2">
        <v>1230.49</v>
      </c>
      <c r="I846" t="s">
        <v>25</v>
      </c>
      <c r="J846" t="s">
        <v>11</v>
      </c>
      <c r="K846" t="s">
        <v>12</v>
      </c>
    </row>
    <row r="847" spans="1:11" x14ac:dyDescent="0.25">
      <c r="A847" t="s">
        <v>960</v>
      </c>
      <c r="B847" t="s">
        <v>266</v>
      </c>
      <c r="C847" t="s">
        <v>961</v>
      </c>
      <c r="D847">
        <v>854810022</v>
      </c>
      <c r="E847" t="s">
        <v>18</v>
      </c>
      <c r="F847" s="1">
        <v>45470</v>
      </c>
      <c r="G847" t="s">
        <v>460</v>
      </c>
      <c r="H847" s="2">
        <v>829.74</v>
      </c>
      <c r="I847" t="s">
        <v>25</v>
      </c>
      <c r="J847" t="s">
        <v>11</v>
      </c>
      <c r="K847" t="s">
        <v>16</v>
      </c>
    </row>
    <row r="848" spans="1:11" x14ac:dyDescent="0.25">
      <c r="A848" t="s">
        <v>1340</v>
      </c>
      <c r="B848" t="s">
        <v>309</v>
      </c>
      <c r="C848" t="s">
        <v>1341</v>
      </c>
      <c r="D848">
        <v>874961007</v>
      </c>
      <c r="E848" t="s">
        <v>9</v>
      </c>
      <c r="F848" s="1">
        <v>45281</v>
      </c>
      <c r="G848" t="s">
        <v>47</v>
      </c>
      <c r="H848" s="2">
        <v>1880.9</v>
      </c>
      <c r="I848" t="s">
        <v>25</v>
      </c>
      <c r="J848" t="s">
        <v>11</v>
      </c>
      <c r="K848" t="s">
        <v>12</v>
      </c>
    </row>
    <row r="849" spans="1:11" x14ac:dyDescent="0.25">
      <c r="A849" t="s">
        <v>972</v>
      </c>
      <c r="B849" t="s">
        <v>391</v>
      </c>
      <c r="C849" t="s">
        <v>973</v>
      </c>
      <c r="D849">
        <v>689640017</v>
      </c>
      <c r="E849" t="s">
        <v>9</v>
      </c>
      <c r="F849" s="1">
        <v>45732</v>
      </c>
      <c r="G849" t="s">
        <v>478</v>
      </c>
      <c r="H849" s="2">
        <v>1666.88</v>
      </c>
      <c r="I849" t="s">
        <v>25</v>
      </c>
      <c r="J849" t="s">
        <v>33</v>
      </c>
      <c r="K849" t="s">
        <v>16</v>
      </c>
    </row>
    <row r="850" spans="1:11" x14ac:dyDescent="0.25">
      <c r="A850" t="s">
        <v>1028</v>
      </c>
      <c r="B850" t="s">
        <v>356</v>
      </c>
      <c r="C850" t="s">
        <v>1029</v>
      </c>
      <c r="D850">
        <v>699894729</v>
      </c>
      <c r="E850" t="s">
        <v>9</v>
      </c>
      <c r="F850" s="1">
        <v>45638</v>
      </c>
      <c r="G850" t="s">
        <v>603</v>
      </c>
      <c r="H850" s="2">
        <v>1300.03</v>
      </c>
      <c r="I850" t="s">
        <v>25</v>
      </c>
      <c r="J850" t="s">
        <v>22</v>
      </c>
      <c r="K850" t="s">
        <v>16</v>
      </c>
    </row>
    <row r="851" spans="1:11" x14ac:dyDescent="0.25">
      <c r="A851" t="s">
        <v>582</v>
      </c>
      <c r="B851" t="s">
        <v>347</v>
      </c>
      <c r="C851" t="s">
        <v>583</v>
      </c>
      <c r="D851">
        <v>937606933</v>
      </c>
      <c r="E851" t="s">
        <v>9</v>
      </c>
      <c r="F851" s="1">
        <v>45542</v>
      </c>
      <c r="G851" t="s">
        <v>443</v>
      </c>
      <c r="H851" s="2">
        <v>1301.0899999999999</v>
      </c>
      <c r="I851" t="s">
        <v>507</v>
      </c>
      <c r="J851" t="s">
        <v>22</v>
      </c>
      <c r="K851" t="s">
        <v>16</v>
      </c>
    </row>
    <row r="852" spans="1:11" x14ac:dyDescent="0.25">
      <c r="A852" t="s">
        <v>1074</v>
      </c>
      <c r="B852" t="s">
        <v>84</v>
      </c>
      <c r="C852" t="s">
        <v>1075</v>
      </c>
      <c r="D852">
        <v>677172506</v>
      </c>
      <c r="E852" t="s">
        <v>9</v>
      </c>
      <c r="F852" s="1">
        <v>45836</v>
      </c>
      <c r="G852" t="s">
        <v>14</v>
      </c>
      <c r="H852" s="2">
        <v>1649.71</v>
      </c>
      <c r="I852" t="s">
        <v>25</v>
      </c>
      <c r="J852" t="s">
        <v>22</v>
      </c>
      <c r="K852" t="s">
        <v>12</v>
      </c>
    </row>
    <row r="853" spans="1:11" x14ac:dyDescent="0.25">
      <c r="A853" t="s">
        <v>1342</v>
      </c>
      <c r="B853" t="s">
        <v>401</v>
      </c>
      <c r="C853" t="s">
        <v>1343</v>
      </c>
      <c r="D853">
        <v>721713548</v>
      </c>
      <c r="E853" t="s">
        <v>9</v>
      </c>
      <c r="F853" s="1">
        <v>45409</v>
      </c>
      <c r="G853" t="s">
        <v>415</v>
      </c>
      <c r="H853" s="2">
        <v>591.25</v>
      </c>
      <c r="I853" t="s">
        <v>25</v>
      </c>
      <c r="J853" t="s">
        <v>36</v>
      </c>
      <c r="K853" t="s">
        <v>16</v>
      </c>
    </row>
    <row r="854" spans="1:11" x14ac:dyDescent="0.25">
      <c r="A854" t="s">
        <v>631</v>
      </c>
      <c r="B854" t="s">
        <v>54</v>
      </c>
      <c r="C854" t="s">
        <v>632</v>
      </c>
      <c r="D854">
        <v>717372411</v>
      </c>
      <c r="E854" t="s">
        <v>9</v>
      </c>
      <c r="F854" s="1">
        <v>45801</v>
      </c>
      <c r="G854" t="s">
        <v>14</v>
      </c>
      <c r="H854" s="2">
        <v>1826.56</v>
      </c>
      <c r="I854" t="s">
        <v>507</v>
      </c>
      <c r="J854" t="s">
        <v>22</v>
      </c>
      <c r="K854" t="s">
        <v>12</v>
      </c>
    </row>
    <row r="855" spans="1:11" x14ac:dyDescent="0.25">
      <c r="A855" t="s">
        <v>1186</v>
      </c>
      <c r="B855" t="s">
        <v>378</v>
      </c>
      <c r="C855" t="s">
        <v>1187</v>
      </c>
      <c r="D855">
        <v>831528721</v>
      </c>
      <c r="E855" t="s">
        <v>9</v>
      </c>
      <c r="F855" s="1">
        <v>45340</v>
      </c>
      <c r="G855" t="s">
        <v>451</v>
      </c>
      <c r="H855" s="2">
        <v>199.37</v>
      </c>
      <c r="I855" t="s">
        <v>444</v>
      </c>
      <c r="J855" t="s">
        <v>11</v>
      </c>
      <c r="K855" t="s">
        <v>16</v>
      </c>
    </row>
    <row r="856" spans="1:11" x14ac:dyDescent="0.25">
      <c r="A856" t="s">
        <v>1261</v>
      </c>
      <c r="B856" t="s">
        <v>374</v>
      </c>
      <c r="C856" t="s">
        <v>1262</v>
      </c>
      <c r="D856">
        <v>915781255</v>
      </c>
      <c r="E856" t="s">
        <v>13</v>
      </c>
      <c r="F856" s="1">
        <v>45784</v>
      </c>
      <c r="G856" t="s">
        <v>423</v>
      </c>
      <c r="H856" s="2">
        <v>276.36</v>
      </c>
      <c r="I856" t="s">
        <v>25</v>
      </c>
      <c r="J856" t="s">
        <v>11</v>
      </c>
      <c r="K856" t="s">
        <v>16</v>
      </c>
    </row>
    <row r="857" spans="1:11" x14ac:dyDescent="0.25">
      <c r="A857" t="s">
        <v>877</v>
      </c>
      <c r="B857" t="s">
        <v>287</v>
      </c>
      <c r="C857" t="s">
        <v>878</v>
      </c>
      <c r="D857">
        <v>704650325</v>
      </c>
      <c r="E857" t="s">
        <v>13</v>
      </c>
      <c r="F857" s="1">
        <v>45462</v>
      </c>
      <c r="G857" t="s">
        <v>35</v>
      </c>
      <c r="H857" s="2">
        <v>189.41</v>
      </c>
      <c r="I857" t="s">
        <v>25</v>
      </c>
      <c r="J857" t="s">
        <v>11</v>
      </c>
      <c r="K857" t="s">
        <v>16</v>
      </c>
    </row>
    <row r="858" spans="1:11" x14ac:dyDescent="0.25">
      <c r="A858" t="s">
        <v>1263</v>
      </c>
      <c r="B858" t="s">
        <v>130</v>
      </c>
      <c r="C858" t="s">
        <v>1264</v>
      </c>
      <c r="D858">
        <v>737928942</v>
      </c>
      <c r="E858" t="s">
        <v>9</v>
      </c>
      <c r="F858" s="1">
        <v>45248</v>
      </c>
      <c r="G858" t="s">
        <v>418</v>
      </c>
      <c r="H858" s="2">
        <v>1479.46</v>
      </c>
      <c r="I858" t="s">
        <v>444</v>
      </c>
      <c r="J858" t="s">
        <v>22</v>
      </c>
      <c r="K858" t="s">
        <v>12</v>
      </c>
    </row>
    <row r="859" spans="1:11" x14ac:dyDescent="0.25">
      <c r="A859" t="s">
        <v>1010</v>
      </c>
      <c r="B859" t="s">
        <v>405</v>
      </c>
      <c r="C859" t="s">
        <v>1011</v>
      </c>
      <c r="D859">
        <v>988674084</v>
      </c>
      <c r="E859" t="s">
        <v>9</v>
      </c>
      <c r="F859" s="1">
        <v>45687</v>
      </c>
      <c r="G859" t="s">
        <v>14</v>
      </c>
      <c r="H859" s="2">
        <v>717.74</v>
      </c>
      <c r="I859" t="s">
        <v>25</v>
      </c>
      <c r="J859" t="s">
        <v>11</v>
      </c>
      <c r="K859" t="s">
        <v>16</v>
      </c>
    </row>
    <row r="860" spans="1:11" x14ac:dyDescent="0.25">
      <c r="A860" t="s">
        <v>1123</v>
      </c>
      <c r="B860" t="s">
        <v>360</v>
      </c>
      <c r="C860" t="s">
        <v>1124</v>
      </c>
      <c r="D860">
        <v>919039985</v>
      </c>
      <c r="E860" t="s">
        <v>18</v>
      </c>
      <c r="F860" s="1">
        <v>45509</v>
      </c>
      <c r="G860" t="s">
        <v>518</v>
      </c>
      <c r="H860" s="2">
        <v>833.47</v>
      </c>
      <c r="I860" t="s">
        <v>25</v>
      </c>
      <c r="J860" t="s">
        <v>36</v>
      </c>
      <c r="K860" t="s">
        <v>12</v>
      </c>
    </row>
    <row r="861" spans="1:11" x14ac:dyDescent="0.25">
      <c r="A861" t="s">
        <v>1086</v>
      </c>
      <c r="B861" t="s">
        <v>384</v>
      </c>
      <c r="C861" t="s">
        <v>1087</v>
      </c>
      <c r="D861">
        <v>815126663</v>
      </c>
      <c r="E861" t="s">
        <v>18</v>
      </c>
      <c r="F861" s="1">
        <v>45849</v>
      </c>
      <c r="G861" t="s">
        <v>21</v>
      </c>
      <c r="H861" s="2">
        <v>1221.51</v>
      </c>
      <c r="I861" t="s">
        <v>25</v>
      </c>
      <c r="J861" t="s">
        <v>33</v>
      </c>
      <c r="K861" t="s">
        <v>16</v>
      </c>
    </row>
    <row r="862" spans="1:11" x14ac:dyDescent="0.25">
      <c r="A862" t="s">
        <v>618</v>
      </c>
      <c r="B862" t="s">
        <v>250</v>
      </c>
      <c r="C862" t="s">
        <v>619</v>
      </c>
      <c r="D862">
        <v>730582836</v>
      </c>
      <c r="E862" t="s">
        <v>18</v>
      </c>
      <c r="F862" s="1">
        <v>45690</v>
      </c>
      <c r="G862" t="s">
        <v>451</v>
      </c>
      <c r="H862" s="2">
        <v>1566.27</v>
      </c>
      <c r="I862" t="s">
        <v>25</v>
      </c>
      <c r="J862" t="s">
        <v>11</v>
      </c>
      <c r="K862" t="s">
        <v>16</v>
      </c>
    </row>
    <row r="863" spans="1:11" x14ac:dyDescent="0.25">
      <c r="A863" t="s">
        <v>713</v>
      </c>
      <c r="B863" t="s">
        <v>82</v>
      </c>
      <c r="C863" t="s">
        <v>714</v>
      </c>
      <c r="D863">
        <v>708352673</v>
      </c>
      <c r="E863" t="s">
        <v>9</v>
      </c>
      <c r="F863" s="1">
        <v>45827</v>
      </c>
      <c r="G863" t="s">
        <v>14</v>
      </c>
      <c r="H863" s="2">
        <v>91.46</v>
      </c>
      <c r="I863" t="s">
        <v>25</v>
      </c>
      <c r="J863" t="s">
        <v>22</v>
      </c>
      <c r="K863" t="s">
        <v>16</v>
      </c>
    </row>
    <row r="864" spans="1:11" x14ac:dyDescent="0.25">
      <c r="A864" t="s">
        <v>656</v>
      </c>
      <c r="B864" t="s">
        <v>110</v>
      </c>
      <c r="C864" t="s">
        <v>657</v>
      </c>
      <c r="D864">
        <v>735500587</v>
      </c>
      <c r="E864" t="s">
        <v>18</v>
      </c>
      <c r="F864" s="1">
        <v>45716</v>
      </c>
      <c r="G864" t="s">
        <v>32</v>
      </c>
      <c r="H864" s="2">
        <v>737.1</v>
      </c>
      <c r="I864" t="s">
        <v>25</v>
      </c>
      <c r="J864" t="s">
        <v>15</v>
      </c>
      <c r="K864" t="s">
        <v>16</v>
      </c>
    </row>
    <row r="865" spans="1:11" x14ac:dyDescent="0.25">
      <c r="A865" t="s">
        <v>1344</v>
      </c>
      <c r="B865" t="s">
        <v>249</v>
      </c>
      <c r="C865" t="s">
        <v>1345</v>
      </c>
      <c r="D865">
        <v>896166885</v>
      </c>
      <c r="E865" t="s">
        <v>18</v>
      </c>
      <c r="F865" s="1">
        <v>45455</v>
      </c>
      <c r="G865" t="s">
        <v>475</v>
      </c>
      <c r="H865" s="2">
        <v>959.59</v>
      </c>
      <c r="I865" t="s">
        <v>25</v>
      </c>
      <c r="J865" t="s">
        <v>11</v>
      </c>
      <c r="K865" t="s">
        <v>16</v>
      </c>
    </row>
    <row r="866" spans="1:11" x14ac:dyDescent="0.25">
      <c r="A866" t="s">
        <v>664</v>
      </c>
      <c r="B866" t="s">
        <v>80</v>
      </c>
      <c r="C866" t="s">
        <v>665</v>
      </c>
      <c r="D866">
        <v>622023254</v>
      </c>
      <c r="E866" t="s">
        <v>9</v>
      </c>
      <c r="F866" s="1">
        <v>45805</v>
      </c>
      <c r="G866" t="s">
        <v>32</v>
      </c>
      <c r="H866" s="2">
        <v>232.54</v>
      </c>
      <c r="I866" t="s">
        <v>25</v>
      </c>
      <c r="J866" t="s">
        <v>11</v>
      </c>
      <c r="K866" t="s">
        <v>16</v>
      </c>
    </row>
    <row r="867" spans="1:11" x14ac:dyDescent="0.25">
      <c r="A867" t="s">
        <v>1336</v>
      </c>
      <c r="B867" t="s">
        <v>231</v>
      </c>
      <c r="C867" t="s">
        <v>1337</v>
      </c>
      <c r="D867">
        <v>712187897</v>
      </c>
      <c r="E867" t="s">
        <v>9</v>
      </c>
      <c r="F867" s="1">
        <v>45277</v>
      </c>
      <c r="G867" t="s">
        <v>14</v>
      </c>
      <c r="H867" s="2">
        <v>542.25</v>
      </c>
      <c r="I867" t="s">
        <v>25</v>
      </c>
      <c r="J867" t="s">
        <v>22</v>
      </c>
      <c r="K867" t="s">
        <v>12</v>
      </c>
    </row>
    <row r="868" spans="1:11" x14ac:dyDescent="0.25">
      <c r="A868" t="s">
        <v>1261</v>
      </c>
      <c r="B868" t="s">
        <v>374</v>
      </c>
      <c r="C868" t="s">
        <v>1262</v>
      </c>
      <c r="D868">
        <v>915781255</v>
      </c>
      <c r="E868" t="s">
        <v>13</v>
      </c>
      <c r="F868" s="1">
        <v>45727</v>
      </c>
      <c r="G868" t="s">
        <v>423</v>
      </c>
      <c r="H868" s="2">
        <v>1565.08</v>
      </c>
      <c r="I868" t="s">
        <v>25</v>
      </c>
      <c r="J868" t="s">
        <v>22</v>
      </c>
      <c r="K868" t="s">
        <v>16</v>
      </c>
    </row>
    <row r="869" spans="1:11" x14ac:dyDescent="0.25">
      <c r="A869" t="s">
        <v>982</v>
      </c>
      <c r="B869" t="s">
        <v>232</v>
      </c>
      <c r="C869" t="s">
        <v>983</v>
      </c>
      <c r="D869">
        <v>703991673</v>
      </c>
      <c r="E869" t="s">
        <v>18</v>
      </c>
      <c r="F869" s="1">
        <v>45729</v>
      </c>
      <c r="G869" t="s">
        <v>506</v>
      </c>
      <c r="H869" s="2">
        <v>1858.18</v>
      </c>
      <c r="I869" t="s">
        <v>25</v>
      </c>
      <c r="J869" t="s">
        <v>36</v>
      </c>
      <c r="K869" t="s">
        <v>16</v>
      </c>
    </row>
    <row r="870" spans="1:11" x14ac:dyDescent="0.25">
      <c r="A870" t="s">
        <v>1299</v>
      </c>
      <c r="B870" t="s">
        <v>193</v>
      </c>
      <c r="C870" t="s">
        <v>1300</v>
      </c>
      <c r="D870">
        <v>736322863</v>
      </c>
      <c r="E870" t="s">
        <v>18</v>
      </c>
      <c r="F870" s="1">
        <v>45687</v>
      </c>
      <c r="G870" t="s">
        <v>47</v>
      </c>
      <c r="H870" s="2">
        <v>519.20000000000005</v>
      </c>
      <c r="I870" t="s">
        <v>25</v>
      </c>
      <c r="J870" t="s">
        <v>26</v>
      </c>
      <c r="K870" t="s">
        <v>16</v>
      </c>
    </row>
    <row r="871" spans="1:11" x14ac:dyDescent="0.25">
      <c r="A871" t="s">
        <v>436</v>
      </c>
      <c r="B871" t="s">
        <v>115</v>
      </c>
      <c r="C871" t="s">
        <v>437</v>
      </c>
      <c r="D871">
        <v>806023701</v>
      </c>
      <c r="E871" t="s">
        <v>9</v>
      </c>
      <c r="F871" s="1">
        <v>45703</v>
      </c>
      <c r="G871" t="s">
        <v>10</v>
      </c>
      <c r="H871" s="2">
        <v>538.4</v>
      </c>
      <c r="I871" t="s">
        <v>444</v>
      </c>
      <c r="J871" t="s">
        <v>33</v>
      </c>
      <c r="K871" t="s">
        <v>16</v>
      </c>
    </row>
    <row r="872" spans="1:11" x14ac:dyDescent="0.25">
      <c r="A872" t="s">
        <v>934</v>
      </c>
      <c r="B872" t="s">
        <v>935</v>
      </c>
      <c r="C872" t="s">
        <v>936</v>
      </c>
      <c r="D872">
        <v>744201404</v>
      </c>
      <c r="E872" t="s">
        <v>9</v>
      </c>
      <c r="F872" s="1">
        <v>45862</v>
      </c>
      <c r="G872" t="s">
        <v>29</v>
      </c>
      <c r="H872" s="2">
        <v>1940.67</v>
      </c>
      <c r="I872" t="s">
        <v>25</v>
      </c>
      <c r="J872" t="s">
        <v>22</v>
      </c>
      <c r="K872" t="s">
        <v>16</v>
      </c>
    </row>
    <row r="873" spans="1:11" x14ac:dyDescent="0.25">
      <c r="A873" t="s">
        <v>924</v>
      </c>
      <c r="B873" t="s">
        <v>346</v>
      </c>
      <c r="C873" t="s">
        <v>925</v>
      </c>
      <c r="D873">
        <v>718475072</v>
      </c>
      <c r="E873" t="s">
        <v>18</v>
      </c>
      <c r="F873" s="1">
        <v>45807</v>
      </c>
      <c r="G873" t="s">
        <v>451</v>
      </c>
      <c r="H873" s="2">
        <v>1779.53</v>
      </c>
      <c r="I873" t="s">
        <v>25</v>
      </c>
      <c r="J873" t="s">
        <v>11</v>
      </c>
      <c r="K873" t="s">
        <v>16</v>
      </c>
    </row>
    <row r="874" spans="1:11" x14ac:dyDescent="0.25">
      <c r="A874" t="s">
        <v>1234</v>
      </c>
      <c r="B874" t="s">
        <v>331</v>
      </c>
      <c r="C874" t="s">
        <v>1235</v>
      </c>
      <c r="D874">
        <v>877322134</v>
      </c>
      <c r="E874" t="s">
        <v>18</v>
      </c>
      <c r="F874" s="1">
        <v>45604</v>
      </c>
      <c r="G874" t="s">
        <v>21</v>
      </c>
      <c r="H874" s="2">
        <v>1040.51</v>
      </c>
      <c r="I874" t="s">
        <v>25</v>
      </c>
      <c r="J874" t="s">
        <v>11</v>
      </c>
      <c r="K874" t="s">
        <v>16</v>
      </c>
    </row>
    <row r="875" spans="1:11" x14ac:dyDescent="0.25">
      <c r="A875" t="s">
        <v>432</v>
      </c>
      <c r="B875" t="s">
        <v>254</v>
      </c>
      <c r="C875" t="s">
        <v>433</v>
      </c>
      <c r="D875">
        <v>735998025</v>
      </c>
      <c r="E875" t="s">
        <v>9</v>
      </c>
      <c r="F875" s="1">
        <v>45731</v>
      </c>
      <c r="G875" t="s">
        <v>10</v>
      </c>
      <c r="H875" s="2">
        <v>88.33</v>
      </c>
      <c r="I875" t="s">
        <v>444</v>
      </c>
      <c r="J875" t="s">
        <v>22</v>
      </c>
      <c r="K875" t="s">
        <v>16</v>
      </c>
    </row>
    <row r="876" spans="1:11" x14ac:dyDescent="0.25">
      <c r="A876" t="s">
        <v>1147</v>
      </c>
      <c r="B876" t="s">
        <v>196</v>
      </c>
      <c r="C876" t="s">
        <v>1148</v>
      </c>
      <c r="D876">
        <v>732255248</v>
      </c>
      <c r="E876" t="s">
        <v>9</v>
      </c>
      <c r="F876" s="1">
        <v>45361</v>
      </c>
      <c r="G876" t="s">
        <v>10</v>
      </c>
      <c r="H876" s="2">
        <v>139.9</v>
      </c>
      <c r="I876" t="s">
        <v>25</v>
      </c>
      <c r="J876" t="s">
        <v>11</v>
      </c>
      <c r="K876" t="s">
        <v>12</v>
      </c>
    </row>
    <row r="877" spans="1:11" x14ac:dyDescent="0.25">
      <c r="A877" t="s">
        <v>1346</v>
      </c>
      <c r="B877" t="s">
        <v>1347</v>
      </c>
      <c r="C877" t="s">
        <v>1348</v>
      </c>
      <c r="D877">
        <v>651807606</v>
      </c>
      <c r="E877" t="s">
        <v>18</v>
      </c>
      <c r="F877" s="1">
        <v>45755</v>
      </c>
      <c r="G877" t="s">
        <v>47</v>
      </c>
      <c r="H877" s="2">
        <v>1430.05</v>
      </c>
      <c r="I877" t="s">
        <v>25</v>
      </c>
      <c r="J877" t="s">
        <v>11</v>
      </c>
      <c r="K877" t="s">
        <v>16</v>
      </c>
    </row>
    <row r="878" spans="1:11" x14ac:dyDescent="0.25">
      <c r="A878" t="s">
        <v>715</v>
      </c>
      <c r="B878" t="s">
        <v>202</v>
      </c>
      <c r="C878" t="s">
        <v>716</v>
      </c>
      <c r="D878">
        <v>652976786</v>
      </c>
      <c r="E878" t="s">
        <v>18</v>
      </c>
      <c r="F878" s="1">
        <v>45387</v>
      </c>
      <c r="G878" t="s">
        <v>443</v>
      </c>
      <c r="H878" s="2">
        <v>1402.76</v>
      </c>
      <c r="I878" t="s">
        <v>25</v>
      </c>
      <c r="J878" t="s">
        <v>22</v>
      </c>
      <c r="K878" t="s">
        <v>16</v>
      </c>
    </row>
    <row r="879" spans="1:11" x14ac:dyDescent="0.25">
      <c r="A879" t="s">
        <v>1226</v>
      </c>
      <c r="B879" t="s">
        <v>330</v>
      </c>
      <c r="C879" t="s">
        <v>1227</v>
      </c>
      <c r="D879">
        <v>645909202</v>
      </c>
      <c r="E879" t="s">
        <v>9</v>
      </c>
      <c r="F879" s="1">
        <v>45521</v>
      </c>
      <c r="G879" t="s">
        <v>32</v>
      </c>
      <c r="H879" s="2">
        <v>402.16</v>
      </c>
      <c r="I879" t="s">
        <v>25</v>
      </c>
      <c r="J879" t="s">
        <v>33</v>
      </c>
      <c r="K879" t="s">
        <v>16</v>
      </c>
    </row>
    <row r="880" spans="1:11" x14ac:dyDescent="0.25">
      <c r="A880" t="s">
        <v>727</v>
      </c>
      <c r="B880" t="s">
        <v>365</v>
      </c>
      <c r="C880" t="s">
        <v>728</v>
      </c>
      <c r="D880">
        <v>720179790</v>
      </c>
      <c r="E880" t="s">
        <v>9</v>
      </c>
      <c r="F880" s="1">
        <v>45207</v>
      </c>
      <c r="G880" t="s">
        <v>443</v>
      </c>
      <c r="H880" s="2">
        <v>1637.37</v>
      </c>
      <c r="I880" t="s">
        <v>25</v>
      </c>
      <c r="J880" t="s">
        <v>11</v>
      </c>
      <c r="K880" t="s">
        <v>16</v>
      </c>
    </row>
    <row r="881" spans="1:11" x14ac:dyDescent="0.25">
      <c r="A881" t="s">
        <v>1349</v>
      </c>
      <c r="B881" t="s">
        <v>184</v>
      </c>
      <c r="C881" t="s">
        <v>1350</v>
      </c>
      <c r="D881">
        <v>718083036</v>
      </c>
      <c r="E881" t="s">
        <v>18</v>
      </c>
      <c r="F881" s="1">
        <v>45668</v>
      </c>
      <c r="G881" t="s">
        <v>10</v>
      </c>
      <c r="H881" s="2">
        <v>177.03</v>
      </c>
      <c r="I881" t="s">
        <v>25</v>
      </c>
      <c r="J881" t="s">
        <v>36</v>
      </c>
      <c r="K881" t="s">
        <v>16</v>
      </c>
    </row>
    <row r="882" spans="1:11" x14ac:dyDescent="0.25">
      <c r="A882" t="s">
        <v>456</v>
      </c>
      <c r="B882" t="s">
        <v>206</v>
      </c>
      <c r="C882" t="s">
        <v>457</v>
      </c>
      <c r="D882">
        <v>719563621</v>
      </c>
      <c r="E882" t="s">
        <v>18</v>
      </c>
      <c r="F882" s="1">
        <v>45372</v>
      </c>
      <c r="G882" t="s">
        <v>35</v>
      </c>
      <c r="H882" s="2">
        <v>1600.14</v>
      </c>
      <c r="I882" t="s">
        <v>25</v>
      </c>
      <c r="J882" t="s">
        <v>11</v>
      </c>
      <c r="K882" t="s">
        <v>12</v>
      </c>
    </row>
    <row r="883" spans="1:11" x14ac:dyDescent="0.25">
      <c r="A883" t="s">
        <v>1351</v>
      </c>
      <c r="B883" t="s">
        <v>67</v>
      </c>
      <c r="C883" t="s">
        <v>1352</v>
      </c>
      <c r="D883">
        <v>713798073</v>
      </c>
      <c r="E883" t="s">
        <v>18</v>
      </c>
      <c r="F883" s="1">
        <v>45588</v>
      </c>
      <c r="G883" t="s">
        <v>21</v>
      </c>
      <c r="H883" s="2">
        <v>612.04999999999995</v>
      </c>
      <c r="I883" t="s">
        <v>25</v>
      </c>
      <c r="J883" t="s">
        <v>36</v>
      </c>
      <c r="K883" t="s">
        <v>16</v>
      </c>
    </row>
    <row r="884" spans="1:11" x14ac:dyDescent="0.25">
      <c r="A884" t="s">
        <v>715</v>
      </c>
      <c r="B884" t="s">
        <v>202</v>
      </c>
      <c r="C884" t="s">
        <v>716</v>
      </c>
      <c r="D884">
        <v>652976786</v>
      </c>
      <c r="E884" t="s">
        <v>18</v>
      </c>
      <c r="F884" s="1">
        <v>45268</v>
      </c>
      <c r="G884" t="s">
        <v>443</v>
      </c>
      <c r="H884" s="2">
        <v>296.66000000000003</v>
      </c>
      <c r="I884" t="s">
        <v>25</v>
      </c>
      <c r="J884" t="s">
        <v>26</v>
      </c>
      <c r="K884" t="s">
        <v>12</v>
      </c>
    </row>
    <row r="885" spans="1:11" x14ac:dyDescent="0.25">
      <c r="A885" t="s">
        <v>941</v>
      </c>
      <c r="B885" t="s">
        <v>182</v>
      </c>
      <c r="C885" t="s">
        <v>942</v>
      </c>
      <c r="D885">
        <v>728722101</v>
      </c>
      <c r="E885" t="s">
        <v>9</v>
      </c>
      <c r="F885" s="1">
        <v>45651</v>
      </c>
      <c r="G885" t="s">
        <v>14</v>
      </c>
      <c r="H885" s="2">
        <v>545.20000000000005</v>
      </c>
      <c r="I885" t="s">
        <v>25</v>
      </c>
      <c r="J885" t="s">
        <v>22</v>
      </c>
      <c r="K885" t="s">
        <v>16</v>
      </c>
    </row>
    <row r="886" spans="1:11" x14ac:dyDescent="0.25">
      <c r="A886" t="s">
        <v>681</v>
      </c>
      <c r="B886" t="s">
        <v>138</v>
      </c>
      <c r="C886" t="s">
        <v>682</v>
      </c>
      <c r="D886">
        <v>746643710</v>
      </c>
      <c r="E886" t="s">
        <v>13</v>
      </c>
      <c r="F886" s="1">
        <v>45554</v>
      </c>
      <c r="G886" t="s">
        <v>478</v>
      </c>
      <c r="H886" s="2">
        <v>555.58000000000004</v>
      </c>
      <c r="I886" t="s">
        <v>25</v>
      </c>
      <c r="J886" t="s">
        <v>22</v>
      </c>
      <c r="K886" t="s">
        <v>16</v>
      </c>
    </row>
    <row r="887" spans="1:11" x14ac:dyDescent="0.25">
      <c r="A887" t="s">
        <v>1129</v>
      </c>
      <c r="B887" t="s">
        <v>124</v>
      </c>
      <c r="C887" t="s">
        <v>1130</v>
      </c>
      <c r="D887">
        <v>938659334</v>
      </c>
      <c r="E887" t="s">
        <v>9</v>
      </c>
      <c r="F887" s="1">
        <v>45285</v>
      </c>
      <c r="G887" t="s">
        <v>47</v>
      </c>
      <c r="H887" s="2">
        <v>988.54</v>
      </c>
      <c r="I887" t="s">
        <v>444</v>
      </c>
      <c r="J887" t="s">
        <v>33</v>
      </c>
      <c r="K887" t="s">
        <v>16</v>
      </c>
    </row>
    <row r="888" spans="1:11" x14ac:dyDescent="0.25">
      <c r="A888" t="s">
        <v>1353</v>
      </c>
      <c r="B888" t="s">
        <v>160</v>
      </c>
      <c r="C888" t="s">
        <v>1354</v>
      </c>
      <c r="D888">
        <v>725477361</v>
      </c>
      <c r="E888" t="s">
        <v>18</v>
      </c>
      <c r="F888" s="1">
        <v>45815</v>
      </c>
      <c r="G888" t="s">
        <v>14</v>
      </c>
      <c r="H888" s="2">
        <v>954.64</v>
      </c>
      <c r="I888" t="s">
        <v>507</v>
      </c>
      <c r="J888" t="s">
        <v>11</v>
      </c>
      <c r="K888" t="s">
        <v>12</v>
      </c>
    </row>
    <row r="889" spans="1:11" x14ac:dyDescent="0.25">
      <c r="A889" t="s">
        <v>966</v>
      </c>
      <c r="B889" t="s">
        <v>129</v>
      </c>
      <c r="C889" t="s">
        <v>967</v>
      </c>
      <c r="D889">
        <v>738722817</v>
      </c>
      <c r="E889" t="s">
        <v>9</v>
      </c>
      <c r="F889" s="1">
        <v>45648</v>
      </c>
      <c r="G889" t="s">
        <v>624</v>
      </c>
      <c r="H889" s="2">
        <v>501.95</v>
      </c>
      <c r="I889" t="s">
        <v>25</v>
      </c>
      <c r="J889" t="s">
        <v>22</v>
      </c>
      <c r="K889" t="s">
        <v>12</v>
      </c>
    </row>
    <row r="890" spans="1:11" x14ac:dyDescent="0.25">
      <c r="A890" t="s">
        <v>1338</v>
      </c>
      <c r="B890" t="s">
        <v>350</v>
      </c>
      <c r="C890" t="s">
        <v>1339</v>
      </c>
      <c r="D890">
        <v>713916093</v>
      </c>
      <c r="E890" t="s">
        <v>9</v>
      </c>
      <c r="F890" s="1">
        <v>45286</v>
      </c>
      <c r="G890" t="s">
        <v>423</v>
      </c>
      <c r="H890" s="2">
        <v>436.91</v>
      </c>
      <c r="I890" t="s">
        <v>25</v>
      </c>
      <c r="J890" t="s">
        <v>22</v>
      </c>
      <c r="K890" t="s">
        <v>16</v>
      </c>
    </row>
    <row r="891" spans="1:11" x14ac:dyDescent="0.25">
      <c r="A891" t="s">
        <v>649</v>
      </c>
      <c r="B891" t="s">
        <v>23</v>
      </c>
      <c r="C891" t="s">
        <v>650</v>
      </c>
      <c r="D891">
        <v>681942999</v>
      </c>
      <c r="E891" t="s">
        <v>9</v>
      </c>
      <c r="F891" s="1">
        <v>45202</v>
      </c>
      <c r="G891" t="s">
        <v>10</v>
      </c>
      <c r="H891" s="2">
        <v>42.89</v>
      </c>
      <c r="I891" t="s">
        <v>25</v>
      </c>
      <c r="J891" t="s">
        <v>26</v>
      </c>
      <c r="K891" t="s">
        <v>12</v>
      </c>
    </row>
    <row r="892" spans="1:11" x14ac:dyDescent="0.25">
      <c r="A892" t="s">
        <v>1151</v>
      </c>
      <c r="B892" t="s">
        <v>396</v>
      </c>
      <c r="C892" t="s">
        <v>1152</v>
      </c>
      <c r="D892">
        <v>741286548</v>
      </c>
      <c r="E892" t="s">
        <v>18</v>
      </c>
      <c r="F892" s="1">
        <v>45589</v>
      </c>
      <c r="G892" t="s">
        <v>443</v>
      </c>
      <c r="H892" s="2">
        <v>323.48</v>
      </c>
      <c r="I892" t="s">
        <v>25</v>
      </c>
      <c r="J892" t="s">
        <v>36</v>
      </c>
      <c r="K892" t="s">
        <v>12</v>
      </c>
    </row>
    <row r="893" spans="1:11" x14ac:dyDescent="0.25">
      <c r="A893" t="s">
        <v>482</v>
      </c>
      <c r="B893" t="s">
        <v>66</v>
      </c>
      <c r="C893" t="s">
        <v>483</v>
      </c>
      <c r="D893">
        <v>951987392</v>
      </c>
      <c r="E893" t="s">
        <v>9</v>
      </c>
      <c r="F893" s="1">
        <v>45555</v>
      </c>
      <c r="G893" t="s">
        <v>440</v>
      </c>
      <c r="H893" s="2">
        <v>664.3</v>
      </c>
      <c r="I893" t="s">
        <v>25</v>
      </c>
      <c r="J893" t="s">
        <v>33</v>
      </c>
      <c r="K893" t="s">
        <v>16</v>
      </c>
    </row>
    <row r="894" spans="1:11" x14ac:dyDescent="0.25">
      <c r="A894" t="s">
        <v>653</v>
      </c>
      <c r="B894" t="s">
        <v>654</v>
      </c>
      <c r="C894" t="s">
        <v>655</v>
      </c>
      <c r="D894">
        <v>719370887</v>
      </c>
      <c r="E894" t="s">
        <v>18</v>
      </c>
      <c r="F894" s="1">
        <v>45209</v>
      </c>
      <c r="G894" t="s">
        <v>475</v>
      </c>
      <c r="H894" s="2">
        <v>67.67</v>
      </c>
      <c r="I894" t="s">
        <v>25</v>
      </c>
      <c r="J894" t="s">
        <v>11</v>
      </c>
      <c r="K894" t="s">
        <v>16</v>
      </c>
    </row>
    <row r="895" spans="1:11" x14ac:dyDescent="0.25">
      <c r="A895" t="s">
        <v>1162</v>
      </c>
      <c r="B895" t="s">
        <v>381</v>
      </c>
      <c r="C895" t="s">
        <v>1163</v>
      </c>
      <c r="D895">
        <v>938130308</v>
      </c>
      <c r="E895" t="s">
        <v>18</v>
      </c>
      <c r="F895" s="1">
        <v>45588</v>
      </c>
      <c r="G895" t="s">
        <v>423</v>
      </c>
      <c r="H895" s="2">
        <v>1339.55</v>
      </c>
      <c r="I895" t="s">
        <v>25</v>
      </c>
      <c r="J895" t="s">
        <v>26</v>
      </c>
      <c r="K895" t="s">
        <v>12</v>
      </c>
    </row>
    <row r="896" spans="1:11" x14ac:dyDescent="0.25">
      <c r="A896" t="s">
        <v>903</v>
      </c>
      <c r="B896" t="s">
        <v>113</v>
      </c>
      <c r="C896" t="s">
        <v>904</v>
      </c>
      <c r="D896">
        <v>680373214</v>
      </c>
      <c r="E896" t="s">
        <v>9</v>
      </c>
      <c r="F896" s="1">
        <v>45835</v>
      </c>
      <c r="G896" t="s">
        <v>21</v>
      </c>
      <c r="H896" s="2">
        <v>1561.85</v>
      </c>
      <c r="I896" t="s">
        <v>507</v>
      </c>
      <c r="J896" t="s">
        <v>33</v>
      </c>
      <c r="K896" t="s">
        <v>16</v>
      </c>
    </row>
    <row r="897" spans="1:11" x14ac:dyDescent="0.25">
      <c r="A897" t="s">
        <v>656</v>
      </c>
      <c r="B897" t="s">
        <v>110</v>
      </c>
      <c r="C897" t="s">
        <v>657</v>
      </c>
      <c r="D897">
        <v>735500587</v>
      </c>
      <c r="E897" t="s">
        <v>18</v>
      </c>
      <c r="F897" s="1">
        <v>45258</v>
      </c>
      <c r="G897" t="s">
        <v>32</v>
      </c>
      <c r="H897" s="2">
        <v>1710.83</v>
      </c>
      <c r="I897" t="s">
        <v>25</v>
      </c>
      <c r="J897" t="s">
        <v>11</v>
      </c>
      <c r="K897" t="s">
        <v>12</v>
      </c>
    </row>
    <row r="898" spans="1:11" x14ac:dyDescent="0.25">
      <c r="A898" t="s">
        <v>496</v>
      </c>
      <c r="B898" t="s">
        <v>278</v>
      </c>
      <c r="C898" t="s">
        <v>497</v>
      </c>
      <c r="D898">
        <v>702426757</v>
      </c>
      <c r="E898" t="s">
        <v>13</v>
      </c>
      <c r="F898" s="1">
        <v>45516</v>
      </c>
      <c r="G898" t="s">
        <v>47</v>
      </c>
      <c r="H898" s="2">
        <v>1943.97</v>
      </c>
      <c r="I898" t="s">
        <v>25</v>
      </c>
      <c r="J898" t="s">
        <v>33</v>
      </c>
      <c r="K898" t="s">
        <v>16</v>
      </c>
    </row>
    <row r="899" spans="1:11" x14ac:dyDescent="0.25">
      <c r="A899" t="s">
        <v>1088</v>
      </c>
      <c r="B899" t="s">
        <v>179</v>
      </c>
      <c r="C899" t="s">
        <v>1089</v>
      </c>
      <c r="D899">
        <v>676942883</v>
      </c>
      <c r="E899" t="s">
        <v>9</v>
      </c>
      <c r="F899" s="1">
        <v>45519</v>
      </c>
      <c r="G899" t="s">
        <v>440</v>
      </c>
      <c r="H899" s="2">
        <v>1183.94</v>
      </c>
      <c r="I899" t="s">
        <v>25</v>
      </c>
      <c r="J899" t="s">
        <v>33</v>
      </c>
      <c r="K899" t="s">
        <v>12</v>
      </c>
    </row>
    <row r="900" spans="1:11" x14ac:dyDescent="0.25">
      <c r="A900" t="s">
        <v>1286</v>
      </c>
      <c r="B900" t="s">
        <v>27</v>
      </c>
      <c r="C900" t="s">
        <v>1287</v>
      </c>
      <c r="D900">
        <v>745334445</v>
      </c>
      <c r="E900" t="s">
        <v>18</v>
      </c>
      <c r="F900" s="1">
        <v>45741</v>
      </c>
      <c r="G900" t="s">
        <v>47</v>
      </c>
      <c r="H900" s="2">
        <v>630.80999999999995</v>
      </c>
      <c r="I900" t="s">
        <v>25</v>
      </c>
      <c r="J900" t="s">
        <v>11</v>
      </c>
      <c r="K900" t="s">
        <v>16</v>
      </c>
    </row>
    <row r="901" spans="1:11" x14ac:dyDescent="0.25">
      <c r="A901" t="s">
        <v>1066</v>
      </c>
      <c r="B901" t="s">
        <v>164</v>
      </c>
      <c r="C901" t="s">
        <v>1067</v>
      </c>
      <c r="D901">
        <v>722204395</v>
      </c>
      <c r="E901" t="s">
        <v>9</v>
      </c>
      <c r="F901" s="1">
        <v>45774</v>
      </c>
      <c r="G901" t="s">
        <v>475</v>
      </c>
      <c r="H901" s="2">
        <v>1672.77</v>
      </c>
      <c r="I901" t="s">
        <v>25</v>
      </c>
      <c r="J901" t="s">
        <v>22</v>
      </c>
      <c r="K901" t="s">
        <v>12</v>
      </c>
    </row>
    <row r="902" spans="1:11" x14ac:dyDescent="0.25">
      <c r="A902" t="s">
        <v>516</v>
      </c>
      <c r="B902" t="s">
        <v>395</v>
      </c>
      <c r="C902" t="s">
        <v>517</v>
      </c>
      <c r="D902">
        <v>725414927</v>
      </c>
      <c r="E902" t="s">
        <v>9</v>
      </c>
      <c r="F902" s="1">
        <v>45291</v>
      </c>
      <c r="G902" t="s">
        <v>518</v>
      </c>
      <c r="H902" s="2">
        <v>1214.9000000000001</v>
      </c>
      <c r="I902" t="s">
        <v>25</v>
      </c>
      <c r="J902" t="s">
        <v>36</v>
      </c>
      <c r="K902" t="s">
        <v>12</v>
      </c>
    </row>
    <row r="903" spans="1:11" x14ac:dyDescent="0.25">
      <c r="A903" t="s">
        <v>934</v>
      </c>
      <c r="B903" t="s">
        <v>935</v>
      </c>
      <c r="C903" t="s">
        <v>936</v>
      </c>
      <c r="D903">
        <v>744201404</v>
      </c>
      <c r="E903" t="s">
        <v>9</v>
      </c>
      <c r="F903" s="1">
        <v>45813</v>
      </c>
      <c r="G903" t="s">
        <v>29</v>
      </c>
      <c r="H903" s="2">
        <v>1901.23</v>
      </c>
      <c r="I903" t="s">
        <v>25</v>
      </c>
      <c r="J903" t="s">
        <v>22</v>
      </c>
      <c r="K903" t="s">
        <v>12</v>
      </c>
    </row>
    <row r="904" spans="1:11" x14ac:dyDescent="0.25">
      <c r="A904" t="s">
        <v>937</v>
      </c>
      <c r="B904" t="s">
        <v>364</v>
      </c>
      <c r="C904" t="s">
        <v>938</v>
      </c>
      <c r="D904">
        <v>717190176</v>
      </c>
      <c r="E904" t="s">
        <v>9</v>
      </c>
      <c r="F904" s="1">
        <v>45843</v>
      </c>
      <c r="G904" t="s">
        <v>412</v>
      </c>
      <c r="H904" s="2">
        <v>684.87</v>
      </c>
      <c r="I904" t="s">
        <v>25</v>
      </c>
      <c r="J904" t="s">
        <v>26</v>
      </c>
      <c r="K904" t="s">
        <v>12</v>
      </c>
    </row>
    <row r="905" spans="1:11" x14ac:dyDescent="0.25">
      <c r="A905" t="s">
        <v>1018</v>
      </c>
      <c r="B905" t="s">
        <v>59</v>
      </c>
      <c r="C905" t="s">
        <v>1019</v>
      </c>
      <c r="D905">
        <v>635448926</v>
      </c>
      <c r="E905" t="s">
        <v>18</v>
      </c>
      <c r="F905" s="1">
        <v>45800</v>
      </c>
      <c r="G905" t="s">
        <v>506</v>
      </c>
      <c r="H905" s="2">
        <v>1505.68</v>
      </c>
      <c r="I905" t="s">
        <v>25</v>
      </c>
      <c r="J905" t="s">
        <v>11</v>
      </c>
      <c r="K905" t="s">
        <v>12</v>
      </c>
    </row>
    <row r="906" spans="1:11" x14ac:dyDescent="0.25">
      <c r="A906" t="s">
        <v>1355</v>
      </c>
      <c r="B906" t="s">
        <v>185</v>
      </c>
      <c r="C906" t="s">
        <v>1356</v>
      </c>
      <c r="D906">
        <v>717432836</v>
      </c>
      <c r="E906" t="s">
        <v>9</v>
      </c>
      <c r="F906" s="1">
        <v>45713</v>
      </c>
      <c r="G906" t="s">
        <v>423</v>
      </c>
      <c r="H906" s="2">
        <v>919.76</v>
      </c>
      <c r="I906" t="s">
        <v>25</v>
      </c>
      <c r="J906" t="s">
        <v>11</v>
      </c>
      <c r="K906" t="s">
        <v>12</v>
      </c>
    </row>
    <row r="907" spans="1:11" x14ac:dyDescent="0.25">
      <c r="A907" t="s">
        <v>1286</v>
      </c>
      <c r="B907" t="s">
        <v>27</v>
      </c>
      <c r="C907" t="s">
        <v>1287</v>
      </c>
      <c r="D907">
        <v>745334445</v>
      </c>
      <c r="E907" t="s">
        <v>18</v>
      </c>
      <c r="F907" s="1">
        <v>45759</v>
      </c>
      <c r="G907" t="s">
        <v>47</v>
      </c>
      <c r="H907" s="2">
        <v>707.2</v>
      </c>
      <c r="I907" t="s">
        <v>25</v>
      </c>
      <c r="J907" t="s">
        <v>11</v>
      </c>
      <c r="K907" t="s">
        <v>16</v>
      </c>
    </row>
    <row r="908" spans="1:11" x14ac:dyDescent="0.25">
      <c r="A908" t="s">
        <v>1357</v>
      </c>
      <c r="B908" t="s">
        <v>364</v>
      </c>
      <c r="C908" t="s">
        <v>1358</v>
      </c>
      <c r="D908">
        <v>723313718</v>
      </c>
      <c r="E908" t="s">
        <v>9</v>
      </c>
      <c r="F908" s="1">
        <v>45358</v>
      </c>
      <c r="G908" t="s">
        <v>39</v>
      </c>
      <c r="H908" s="2">
        <v>645.92999999999995</v>
      </c>
      <c r="I908" t="s">
        <v>25</v>
      </c>
      <c r="J908" t="s">
        <v>33</v>
      </c>
      <c r="K908" t="s">
        <v>12</v>
      </c>
    </row>
    <row r="909" spans="1:11" x14ac:dyDescent="0.25">
      <c r="A909" t="s">
        <v>1218</v>
      </c>
      <c r="B909" t="s">
        <v>126</v>
      </c>
      <c r="C909" t="s">
        <v>1219</v>
      </c>
      <c r="D909">
        <v>746241600</v>
      </c>
      <c r="E909" t="s">
        <v>9</v>
      </c>
      <c r="F909" s="1">
        <v>45197</v>
      </c>
      <c r="G909" t="s">
        <v>21</v>
      </c>
      <c r="H909" s="2">
        <v>483.66</v>
      </c>
      <c r="I909" t="s">
        <v>25</v>
      </c>
      <c r="J909" t="s">
        <v>22</v>
      </c>
      <c r="K909" t="s">
        <v>12</v>
      </c>
    </row>
    <row r="910" spans="1:11" x14ac:dyDescent="0.25">
      <c r="A910" t="s">
        <v>926</v>
      </c>
      <c r="B910" t="s">
        <v>178</v>
      </c>
      <c r="C910" t="s">
        <v>927</v>
      </c>
      <c r="D910">
        <v>708355930</v>
      </c>
      <c r="E910" t="s">
        <v>9</v>
      </c>
      <c r="F910" s="1">
        <v>45772</v>
      </c>
      <c r="G910" t="s">
        <v>24</v>
      </c>
      <c r="H910" s="2">
        <v>792.58</v>
      </c>
      <c r="I910" t="s">
        <v>25</v>
      </c>
      <c r="J910" t="s">
        <v>11</v>
      </c>
      <c r="K910" t="s">
        <v>12</v>
      </c>
    </row>
    <row r="911" spans="1:11" x14ac:dyDescent="0.25">
      <c r="A911" t="s">
        <v>1000</v>
      </c>
      <c r="B911" t="s">
        <v>240</v>
      </c>
      <c r="C911" t="s">
        <v>1001</v>
      </c>
      <c r="D911">
        <v>905498813</v>
      </c>
      <c r="E911" t="s">
        <v>9</v>
      </c>
      <c r="F911" s="1">
        <v>45585</v>
      </c>
      <c r="G911" t="s">
        <v>29</v>
      </c>
      <c r="H911" s="2">
        <v>790.36</v>
      </c>
      <c r="I911" t="s">
        <v>444</v>
      </c>
      <c r="J911" t="s">
        <v>11</v>
      </c>
      <c r="K911" t="s">
        <v>12</v>
      </c>
    </row>
    <row r="912" spans="1:11" x14ac:dyDescent="0.25">
      <c r="A912" t="s">
        <v>449</v>
      </c>
      <c r="B912" t="s">
        <v>88</v>
      </c>
      <c r="C912" t="s">
        <v>450</v>
      </c>
      <c r="D912">
        <v>739522597</v>
      </c>
      <c r="E912" t="s">
        <v>9</v>
      </c>
      <c r="F912" s="1">
        <v>45221</v>
      </c>
      <c r="G912" t="s">
        <v>451</v>
      </c>
      <c r="H912" s="2">
        <v>927.16</v>
      </c>
      <c r="I912" t="s">
        <v>25</v>
      </c>
      <c r="J912" t="s">
        <v>22</v>
      </c>
      <c r="K912" t="s">
        <v>12</v>
      </c>
    </row>
    <row r="913" spans="1:11" x14ac:dyDescent="0.25">
      <c r="A913" t="s">
        <v>1192</v>
      </c>
      <c r="B913" t="s">
        <v>372</v>
      </c>
      <c r="C913" t="s">
        <v>1193</v>
      </c>
      <c r="D913">
        <v>722844692</v>
      </c>
      <c r="E913" t="s">
        <v>18</v>
      </c>
      <c r="F913" s="1">
        <v>45545</v>
      </c>
      <c r="G913" t="s">
        <v>478</v>
      </c>
      <c r="H913" s="2">
        <v>558.23</v>
      </c>
      <c r="I913" t="s">
        <v>25</v>
      </c>
      <c r="J913" t="s">
        <v>11</v>
      </c>
      <c r="K913" t="s">
        <v>16</v>
      </c>
    </row>
    <row r="914" spans="1:11" x14ac:dyDescent="0.25">
      <c r="A914" t="s">
        <v>662</v>
      </c>
      <c r="B914" t="s">
        <v>241</v>
      </c>
      <c r="C914" t="s">
        <v>663</v>
      </c>
      <c r="D914">
        <v>717637012</v>
      </c>
      <c r="E914" t="s">
        <v>18</v>
      </c>
      <c r="F914" s="1">
        <v>45544</v>
      </c>
      <c r="G914" t="s">
        <v>29</v>
      </c>
      <c r="H914" s="2">
        <v>86.54</v>
      </c>
      <c r="I914" t="s">
        <v>25</v>
      </c>
      <c r="J914" t="s">
        <v>36</v>
      </c>
      <c r="K914" t="s">
        <v>16</v>
      </c>
    </row>
    <row r="915" spans="1:11" x14ac:dyDescent="0.25">
      <c r="A915" t="s">
        <v>1280</v>
      </c>
      <c r="B915" t="s">
        <v>230</v>
      </c>
      <c r="C915" t="s">
        <v>1281</v>
      </c>
      <c r="D915">
        <v>865720278</v>
      </c>
      <c r="E915" t="s">
        <v>9</v>
      </c>
      <c r="F915" s="1">
        <v>45831</v>
      </c>
      <c r="G915" t="s">
        <v>440</v>
      </c>
      <c r="H915" s="2">
        <v>983.28</v>
      </c>
      <c r="I915" t="s">
        <v>25</v>
      </c>
      <c r="J915" t="s">
        <v>11</v>
      </c>
      <c r="K915" t="s">
        <v>12</v>
      </c>
    </row>
    <row r="916" spans="1:11" x14ac:dyDescent="0.25">
      <c r="A916" t="s">
        <v>1176</v>
      </c>
      <c r="B916" t="s">
        <v>229</v>
      </c>
      <c r="C916" t="s">
        <v>1177</v>
      </c>
      <c r="D916">
        <v>748025884</v>
      </c>
      <c r="E916" t="s">
        <v>18</v>
      </c>
      <c r="F916" s="1">
        <v>45305</v>
      </c>
      <c r="G916" t="s">
        <v>415</v>
      </c>
      <c r="H916" s="2">
        <v>714.21</v>
      </c>
      <c r="I916" t="s">
        <v>507</v>
      </c>
      <c r="J916" t="s">
        <v>36</v>
      </c>
      <c r="K916" t="s">
        <v>16</v>
      </c>
    </row>
    <row r="917" spans="1:11" x14ac:dyDescent="0.25">
      <c r="A917" t="s">
        <v>1359</v>
      </c>
      <c r="B917" t="s">
        <v>38</v>
      </c>
      <c r="C917" t="s">
        <v>1360</v>
      </c>
      <c r="D917">
        <v>704369028</v>
      </c>
      <c r="E917" t="s">
        <v>9</v>
      </c>
      <c r="F917" s="1">
        <v>45499</v>
      </c>
      <c r="G917" t="s">
        <v>35</v>
      </c>
      <c r="H917" s="2">
        <v>927.09</v>
      </c>
      <c r="I917" t="s">
        <v>25</v>
      </c>
      <c r="J917" t="s">
        <v>33</v>
      </c>
      <c r="K917" t="s">
        <v>12</v>
      </c>
    </row>
    <row r="918" spans="1:11" x14ac:dyDescent="0.25">
      <c r="A918" t="s">
        <v>1040</v>
      </c>
      <c r="B918" t="s">
        <v>276</v>
      </c>
      <c r="C918" t="s">
        <v>1041</v>
      </c>
      <c r="D918">
        <v>903785899</v>
      </c>
      <c r="E918" t="s">
        <v>18</v>
      </c>
      <c r="F918" s="1">
        <v>45681</v>
      </c>
      <c r="G918" t="s">
        <v>460</v>
      </c>
      <c r="H918" s="2">
        <v>854.21</v>
      </c>
      <c r="I918" t="s">
        <v>25</v>
      </c>
      <c r="J918" t="s">
        <v>36</v>
      </c>
      <c r="K918" t="s">
        <v>12</v>
      </c>
    </row>
    <row r="919" spans="1:11" x14ac:dyDescent="0.25">
      <c r="A919" t="s">
        <v>1361</v>
      </c>
      <c r="B919" t="s">
        <v>108</v>
      </c>
      <c r="C919" t="s">
        <v>1362</v>
      </c>
      <c r="D919">
        <v>739348248</v>
      </c>
      <c r="E919" t="s">
        <v>9</v>
      </c>
      <c r="F919" s="1">
        <v>45496</v>
      </c>
      <c r="G919" t="s">
        <v>440</v>
      </c>
      <c r="H919" s="2">
        <v>598.78</v>
      </c>
      <c r="I919" t="s">
        <v>25</v>
      </c>
      <c r="J919" t="s">
        <v>26</v>
      </c>
      <c r="K919" t="s">
        <v>12</v>
      </c>
    </row>
    <row r="920" spans="1:11" x14ac:dyDescent="0.25">
      <c r="A920" t="s">
        <v>1068</v>
      </c>
      <c r="B920" t="s">
        <v>81</v>
      </c>
      <c r="C920" t="s">
        <v>1069</v>
      </c>
      <c r="D920">
        <v>820771678</v>
      </c>
      <c r="E920" t="s">
        <v>9</v>
      </c>
      <c r="F920" s="1">
        <v>45362</v>
      </c>
      <c r="G920" t="s">
        <v>14</v>
      </c>
      <c r="H920" s="2">
        <v>491.1</v>
      </c>
      <c r="I920" t="s">
        <v>25</v>
      </c>
      <c r="J920" t="s">
        <v>26</v>
      </c>
      <c r="K920" t="s">
        <v>16</v>
      </c>
    </row>
    <row r="921" spans="1:11" x14ac:dyDescent="0.25">
      <c r="A921" t="s">
        <v>527</v>
      </c>
      <c r="B921" t="s">
        <v>69</v>
      </c>
      <c r="C921" t="s">
        <v>528</v>
      </c>
      <c r="D921">
        <v>737972549</v>
      </c>
      <c r="E921" t="s">
        <v>18</v>
      </c>
      <c r="F921" s="1">
        <v>45478</v>
      </c>
      <c r="G921" t="s">
        <v>35</v>
      </c>
      <c r="H921" s="2">
        <v>1628.87</v>
      </c>
      <c r="I921" t="s">
        <v>25</v>
      </c>
      <c r="J921" t="s">
        <v>26</v>
      </c>
      <c r="K921" t="s">
        <v>12</v>
      </c>
    </row>
    <row r="922" spans="1:11" x14ac:dyDescent="0.25">
      <c r="A922" t="s">
        <v>1082</v>
      </c>
      <c r="B922" t="s">
        <v>219</v>
      </c>
      <c r="C922" t="s">
        <v>1083</v>
      </c>
      <c r="D922">
        <v>737214224</v>
      </c>
      <c r="E922" t="s">
        <v>9</v>
      </c>
      <c r="F922" s="1">
        <v>45462</v>
      </c>
      <c r="G922" t="s">
        <v>29</v>
      </c>
      <c r="H922" s="2">
        <v>853.17</v>
      </c>
      <c r="I922" t="s">
        <v>25</v>
      </c>
      <c r="J922" t="s">
        <v>11</v>
      </c>
      <c r="K922" t="s">
        <v>16</v>
      </c>
    </row>
    <row r="923" spans="1:11" x14ac:dyDescent="0.25">
      <c r="A923" t="s">
        <v>703</v>
      </c>
      <c r="B923" t="s">
        <v>196</v>
      </c>
      <c r="C923" t="s">
        <v>704</v>
      </c>
      <c r="D923">
        <v>713699779</v>
      </c>
      <c r="E923" t="s">
        <v>9</v>
      </c>
      <c r="F923" s="1">
        <v>45763</v>
      </c>
      <c r="G923" t="s">
        <v>47</v>
      </c>
      <c r="H923" s="2">
        <v>1721.72</v>
      </c>
      <c r="I923" t="s">
        <v>25</v>
      </c>
      <c r="J923" t="s">
        <v>22</v>
      </c>
      <c r="K923" t="s">
        <v>12</v>
      </c>
    </row>
    <row r="924" spans="1:11" x14ac:dyDescent="0.25">
      <c r="A924" t="s">
        <v>584</v>
      </c>
      <c r="B924" t="s">
        <v>68</v>
      </c>
      <c r="C924" t="s">
        <v>585</v>
      </c>
      <c r="D924">
        <v>699605788</v>
      </c>
      <c r="E924" t="s">
        <v>18</v>
      </c>
      <c r="F924" s="1">
        <v>45425</v>
      </c>
      <c r="G924" t="s">
        <v>440</v>
      </c>
      <c r="H924" s="2">
        <v>743.05</v>
      </c>
      <c r="I924" t="s">
        <v>25</v>
      </c>
      <c r="J924" t="s">
        <v>11</v>
      </c>
      <c r="K924" t="s">
        <v>12</v>
      </c>
    </row>
    <row r="925" spans="1:11" x14ac:dyDescent="0.25">
      <c r="A925" t="s">
        <v>932</v>
      </c>
      <c r="B925" t="s">
        <v>180</v>
      </c>
      <c r="C925" t="s">
        <v>933</v>
      </c>
      <c r="D925">
        <v>714298563</v>
      </c>
      <c r="E925" t="s">
        <v>9</v>
      </c>
      <c r="F925" s="1">
        <v>45690</v>
      </c>
      <c r="G925" t="s">
        <v>506</v>
      </c>
      <c r="H925" s="2">
        <v>544.95000000000005</v>
      </c>
      <c r="I925" t="s">
        <v>25</v>
      </c>
      <c r="J925" t="s">
        <v>15</v>
      </c>
      <c r="K925" t="s">
        <v>12</v>
      </c>
    </row>
    <row r="926" spans="1:11" x14ac:dyDescent="0.25">
      <c r="A926" t="s">
        <v>687</v>
      </c>
      <c r="B926" t="s">
        <v>398</v>
      </c>
      <c r="C926" t="s">
        <v>688</v>
      </c>
      <c r="D926">
        <v>712704910</v>
      </c>
      <c r="E926" t="s">
        <v>9</v>
      </c>
      <c r="F926" s="1">
        <v>45788</v>
      </c>
      <c r="G926" t="s">
        <v>460</v>
      </c>
      <c r="H926" s="2">
        <v>394.78</v>
      </c>
      <c r="I926" t="s">
        <v>25</v>
      </c>
      <c r="J926" t="s">
        <v>22</v>
      </c>
      <c r="K926" t="s">
        <v>12</v>
      </c>
    </row>
    <row r="927" spans="1:11" x14ac:dyDescent="0.25">
      <c r="A927" t="s">
        <v>1096</v>
      </c>
      <c r="B927" t="s">
        <v>112</v>
      </c>
      <c r="C927" t="s">
        <v>1097</v>
      </c>
      <c r="D927">
        <v>733329234</v>
      </c>
      <c r="E927" t="s">
        <v>18</v>
      </c>
      <c r="F927" s="1">
        <v>45555</v>
      </c>
      <c r="G927" t="s">
        <v>478</v>
      </c>
      <c r="H927" s="2">
        <v>1441.03</v>
      </c>
      <c r="I927" t="s">
        <v>25</v>
      </c>
      <c r="J927" t="s">
        <v>36</v>
      </c>
      <c r="K927" t="s">
        <v>16</v>
      </c>
    </row>
    <row r="928" spans="1:11" x14ac:dyDescent="0.25">
      <c r="A928" t="s">
        <v>711</v>
      </c>
      <c r="B928" t="s">
        <v>310</v>
      </c>
      <c r="C928" t="s">
        <v>712</v>
      </c>
      <c r="D928">
        <v>714356417</v>
      </c>
      <c r="E928" t="s">
        <v>9</v>
      </c>
      <c r="F928" s="1">
        <v>45762</v>
      </c>
      <c r="G928" t="s">
        <v>19</v>
      </c>
      <c r="H928" s="2">
        <v>1166.3900000000001</v>
      </c>
      <c r="I928" t="s">
        <v>25</v>
      </c>
      <c r="J928" t="s">
        <v>22</v>
      </c>
      <c r="K928" t="s">
        <v>16</v>
      </c>
    </row>
    <row r="929" spans="1:11" x14ac:dyDescent="0.25">
      <c r="A929" t="s">
        <v>800</v>
      </c>
      <c r="B929" t="s">
        <v>281</v>
      </c>
      <c r="C929" t="s">
        <v>801</v>
      </c>
      <c r="D929">
        <v>737403719</v>
      </c>
      <c r="E929" t="s">
        <v>18</v>
      </c>
      <c r="F929" s="1">
        <v>45393</v>
      </c>
      <c r="G929" t="s">
        <v>19</v>
      </c>
      <c r="H929" s="2">
        <v>1776.7</v>
      </c>
      <c r="I929" t="s">
        <v>25</v>
      </c>
      <c r="J929" t="s">
        <v>36</v>
      </c>
      <c r="K929" t="s">
        <v>12</v>
      </c>
    </row>
    <row r="930" spans="1:11" x14ac:dyDescent="0.25">
      <c r="A930" t="s">
        <v>1355</v>
      </c>
      <c r="B930" t="s">
        <v>185</v>
      </c>
      <c r="C930" t="s">
        <v>1356</v>
      </c>
      <c r="D930">
        <v>717432836</v>
      </c>
      <c r="E930" t="s">
        <v>9</v>
      </c>
      <c r="F930" s="1">
        <v>45237</v>
      </c>
      <c r="G930" t="s">
        <v>423</v>
      </c>
      <c r="H930" s="2">
        <v>1775.06</v>
      </c>
      <c r="I930" t="s">
        <v>25</v>
      </c>
      <c r="J930" t="s">
        <v>33</v>
      </c>
      <c r="K930" t="s">
        <v>12</v>
      </c>
    </row>
    <row r="931" spans="1:11" x14ac:dyDescent="0.25">
      <c r="A931" t="s">
        <v>958</v>
      </c>
      <c r="B931" t="s">
        <v>61</v>
      </c>
      <c r="C931" t="s">
        <v>959</v>
      </c>
      <c r="D931">
        <v>725944347</v>
      </c>
      <c r="E931" t="s">
        <v>18</v>
      </c>
      <c r="F931" s="1">
        <v>45371</v>
      </c>
      <c r="G931" t="s">
        <v>423</v>
      </c>
      <c r="H931" s="2">
        <v>1827.75</v>
      </c>
      <c r="I931" t="s">
        <v>25</v>
      </c>
      <c r="J931" t="s">
        <v>11</v>
      </c>
      <c r="K931" t="s">
        <v>12</v>
      </c>
    </row>
    <row r="932" spans="1:11" x14ac:dyDescent="0.25">
      <c r="A932" t="s">
        <v>1329</v>
      </c>
      <c r="B932" t="s">
        <v>132</v>
      </c>
      <c r="C932" t="s">
        <v>1330</v>
      </c>
      <c r="D932">
        <v>967429433</v>
      </c>
      <c r="E932" t="s">
        <v>18</v>
      </c>
      <c r="F932" s="1">
        <v>45310</v>
      </c>
      <c r="G932" t="s">
        <v>19</v>
      </c>
      <c r="H932" s="2">
        <v>70.959999999999994</v>
      </c>
      <c r="I932" t="s">
        <v>25</v>
      </c>
      <c r="J932" t="s">
        <v>33</v>
      </c>
      <c r="K932" t="s">
        <v>16</v>
      </c>
    </row>
    <row r="933" spans="1:11" x14ac:dyDescent="0.25">
      <c r="A933" t="s">
        <v>909</v>
      </c>
      <c r="B933" t="s">
        <v>284</v>
      </c>
      <c r="C933" t="s">
        <v>910</v>
      </c>
      <c r="D933">
        <v>707714744</v>
      </c>
      <c r="E933" t="s">
        <v>13</v>
      </c>
      <c r="F933" s="1">
        <v>45498</v>
      </c>
      <c r="G933" t="s">
        <v>451</v>
      </c>
      <c r="H933" s="2">
        <v>1341.57</v>
      </c>
      <c r="I933" t="s">
        <v>25</v>
      </c>
      <c r="J933" t="s">
        <v>22</v>
      </c>
      <c r="K933" t="s">
        <v>12</v>
      </c>
    </row>
    <row r="934" spans="1:11" x14ac:dyDescent="0.25">
      <c r="A934" t="s">
        <v>713</v>
      </c>
      <c r="B934" t="s">
        <v>82</v>
      </c>
      <c r="C934" t="s">
        <v>714</v>
      </c>
      <c r="D934">
        <v>708352673</v>
      </c>
      <c r="E934" t="s">
        <v>9</v>
      </c>
      <c r="F934" s="1">
        <v>45587</v>
      </c>
      <c r="G934" t="s">
        <v>14</v>
      </c>
      <c r="H934" s="2">
        <v>998.27</v>
      </c>
      <c r="I934" t="s">
        <v>25</v>
      </c>
      <c r="J934" t="s">
        <v>22</v>
      </c>
      <c r="K934" t="s">
        <v>12</v>
      </c>
    </row>
    <row r="935" spans="1:11" x14ac:dyDescent="0.25">
      <c r="A935" t="s">
        <v>1211</v>
      </c>
      <c r="B935" t="s">
        <v>92</v>
      </c>
      <c r="C935" t="s">
        <v>1212</v>
      </c>
      <c r="D935">
        <v>728952399</v>
      </c>
      <c r="E935" t="s">
        <v>9</v>
      </c>
      <c r="F935" s="1">
        <v>45814</v>
      </c>
      <c r="G935" t="s">
        <v>10</v>
      </c>
      <c r="H935" s="2">
        <v>1925.33</v>
      </c>
      <c r="I935" t="s">
        <v>25</v>
      </c>
      <c r="J935" t="s">
        <v>22</v>
      </c>
      <c r="K935" t="s">
        <v>12</v>
      </c>
    </row>
    <row r="936" spans="1:11" x14ac:dyDescent="0.25">
      <c r="A936" t="s">
        <v>535</v>
      </c>
      <c r="B936" t="s">
        <v>68</v>
      </c>
      <c r="C936" t="s">
        <v>536</v>
      </c>
      <c r="D936">
        <v>743293622</v>
      </c>
      <c r="E936" t="s">
        <v>9</v>
      </c>
      <c r="F936" s="1">
        <v>45524</v>
      </c>
      <c r="G936" t="s">
        <v>24</v>
      </c>
      <c r="H936" s="2">
        <v>1382.05</v>
      </c>
      <c r="I936" t="s">
        <v>507</v>
      </c>
      <c r="J936" t="s">
        <v>33</v>
      </c>
      <c r="K936" t="s">
        <v>12</v>
      </c>
    </row>
    <row r="937" spans="1:11" x14ac:dyDescent="0.25">
      <c r="A937" t="s">
        <v>1110</v>
      </c>
      <c r="B937" t="s">
        <v>166</v>
      </c>
      <c r="C937" t="s">
        <v>1111</v>
      </c>
      <c r="D937">
        <v>723768512</v>
      </c>
      <c r="E937" t="s">
        <v>9</v>
      </c>
      <c r="F937" s="1">
        <v>45595</v>
      </c>
      <c r="G937" t="s">
        <v>32</v>
      </c>
      <c r="H937" s="2">
        <v>676.16</v>
      </c>
      <c r="I937" t="s">
        <v>25</v>
      </c>
      <c r="J937" t="s">
        <v>33</v>
      </c>
      <c r="K937" t="s">
        <v>12</v>
      </c>
    </row>
    <row r="938" spans="1:11" x14ac:dyDescent="0.25">
      <c r="A938" t="s">
        <v>653</v>
      </c>
      <c r="B938" t="s">
        <v>654</v>
      </c>
      <c r="C938" t="s">
        <v>655</v>
      </c>
      <c r="D938">
        <v>719370887</v>
      </c>
      <c r="E938" t="s">
        <v>18</v>
      </c>
      <c r="F938" s="1">
        <v>45457</v>
      </c>
      <c r="G938" t="s">
        <v>475</v>
      </c>
      <c r="H938" s="2">
        <v>938.63</v>
      </c>
      <c r="I938" t="s">
        <v>25</v>
      </c>
      <c r="J938" t="s">
        <v>11</v>
      </c>
      <c r="K938" t="s">
        <v>12</v>
      </c>
    </row>
    <row r="939" spans="1:11" x14ac:dyDescent="0.25">
      <c r="A939" t="s">
        <v>1363</v>
      </c>
      <c r="B939" t="s">
        <v>374</v>
      </c>
      <c r="C939" t="s">
        <v>1364</v>
      </c>
      <c r="D939">
        <v>718783075</v>
      </c>
      <c r="E939" t="s">
        <v>18</v>
      </c>
      <c r="F939" s="1">
        <v>45760</v>
      </c>
      <c r="G939" t="s">
        <v>29</v>
      </c>
      <c r="H939" s="2">
        <v>646.03</v>
      </c>
      <c r="I939" t="s">
        <v>25</v>
      </c>
      <c r="J939" t="s">
        <v>11</v>
      </c>
      <c r="K939" t="s">
        <v>12</v>
      </c>
    </row>
    <row r="940" spans="1:11" x14ac:dyDescent="0.25">
      <c r="A940" t="s">
        <v>1344</v>
      </c>
      <c r="B940" t="s">
        <v>249</v>
      </c>
      <c r="C940" t="s">
        <v>1345</v>
      </c>
      <c r="D940">
        <v>896166885</v>
      </c>
      <c r="E940" t="s">
        <v>18</v>
      </c>
      <c r="F940" s="1">
        <v>45820</v>
      </c>
      <c r="G940" t="s">
        <v>475</v>
      </c>
      <c r="H940" s="2">
        <v>1635.15</v>
      </c>
      <c r="I940" t="s">
        <v>507</v>
      </c>
      <c r="J940" t="s">
        <v>22</v>
      </c>
      <c r="K940" t="s">
        <v>12</v>
      </c>
    </row>
    <row r="941" spans="1:11" x14ac:dyDescent="0.25">
      <c r="A941" t="s">
        <v>932</v>
      </c>
      <c r="B941" t="s">
        <v>180</v>
      </c>
      <c r="C941" t="s">
        <v>933</v>
      </c>
      <c r="D941">
        <v>714298563</v>
      </c>
      <c r="E941" t="s">
        <v>9</v>
      </c>
      <c r="F941" s="1">
        <v>45790</v>
      </c>
      <c r="G941" t="s">
        <v>506</v>
      </c>
      <c r="H941" s="2">
        <v>1357.71</v>
      </c>
      <c r="I941" t="s">
        <v>444</v>
      </c>
      <c r="J941" t="s">
        <v>22</v>
      </c>
      <c r="K941" t="s">
        <v>12</v>
      </c>
    </row>
    <row r="942" spans="1:11" x14ac:dyDescent="0.25">
      <c r="A942" t="s">
        <v>1365</v>
      </c>
      <c r="B942" t="s">
        <v>257</v>
      </c>
      <c r="C942" t="s">
        <v>1366</v>
      </c>
      <c r="D942">
        <v>935530065</v>
      </c>
      <c r="E942" t="s">
        <v>9</v>
      </c>
      <c r="F942" s="1">
        <v>45445</v>
      </c>
      <c r="G942" t="s">
        <v>415</v>
      </c>
      <c r="H942" s="2">
        <v>1048.27</v>
      </c>
      <c r="I942" t="s">
        <v>507</v>
      </c>
      <c r="J942" t="s">
        <v>22</v>
      </c>
      <c r="K942" t="s">
        <v>16</v>
      </c>
    </row>
    <row r="943" spans="1:11" x14ac:dyDescent="0.25">
      <c r="A943" t="s">
        <v>1131</v>
      </c>
      <c r="B943" t="s">
        <v>106</v>
      </c>
      <c r="C943" t="s">
        <v>1132</v>
      </c>
      <c r="D943">
        <v>826025409</v>
      </c>
      <c r="E943" t="s">
        <v>13</v>
      </c>
      <c r="F943" s="1">
        <v>45423</v>
      </c>
      <c r="G943" t="s">
        <v>451</v>
      </c>
      <c r="H943" s="2">
        <v>968.89</v>
      </c>
      <c r="I943" t="s">
        <v>25</v>
      </c>
      <c r="J943" t="s">
        <v>36</v>
      </c>
      <c r="K943" t="s">
        <v>12</v>
      </c>
    </row>
    <row r="944" spans="1:11" x14ac:dyDescent="0.25">
      <c r="A944" t="s">
        <v>1367</v>
      </c>
      <c r="B944" t="s">
        <v>394</v>
      </c>
      <c r="C944" t="s">
        <v>1368</v>
      </c>
      <c r="D944">
        <v>731576543</v>
      </c>
      <c r="E944" t="s">
        <v>9</v>
      </c>
      <c r="F944" s="1">
        <v>45708</v>
      </c>
      <c r="G944" t="s">
        <v>32</v>
      </c>
      <c r="H944" s="2">
        <v>399.13</v>
      </c>
      <c r="I944" t="s">
        <v>25</v>
      </c>
      <c r="J944" t="s">
        <v>33</v>
      </c>
      <c r="K944" t="s">
        <v>12</v>
      </c>
    </row>
    <row r="945" spans="1:11" x14ac:dyDescent="0.25">
      <c r="A945" t="s">
        <v>1369</v>
      </c>
      <c r="B945" t="s">
        <v>319</v>
      </c>
      <c r="C945" t="s">
        <v>1370</v>
      </c>
      <c r="D945">
        <v>744625067</v>
      </c>
      <c r="E945" t="s">
        <v>9</v>
      </c>
      <c r="F945" s="1">
        <v>45231</v>
      </c>
      <c r="G945" t="s">
        <v>423</v>
      </c>
      <c r="H945" s="2">
        <v>528.19000000000005</v>
      </c>
      <c r="I945" t="s">
        <v>25</v>
      </c>
      <c r="J945" t="s">
        <v>33</v>
      </c>
      <c r="K945" t="s">
        <v>12</v>
      </c>
    </row>
    <row r="946" spans="1:11" x14ac:dyDescent="0.25">
      <c r="A946" t="s">
        <v>1245</v>
      </c>
      <c r="B946" t="s">
        <v>290</v>
      </c>
      <c r="C946" t="s">
        <v>1246</v>
      </c>
      <c r="D946">
        <v>966229025</v>
      </c>
      <c r="E946" t="s">
        <v>9</v>
      </c>
      <c r="F946" s="1">
        <v>45655</v>
      </c>
      <c r="G946" t="s">
        <v>518</v>
      </c>
      <c r="H946" s="2">
        <v>352.47</v>
      </c>
      <c r="I946" t="s">
        <v>25</v>
      </c>
      <c r="J946" t="s">
        <v>11</v>
      </c>
      <c r="K946" t="s">
        <v>12</v>
      </c>
    </row>
    <row r="947" spans="1:11" x14ac:dyDescent="0.25">
      <c r="A947" t="s">
        <v>521</v>
      </c>
      <c r="B947" t="s">
        <v>197</v>
      </c>
      <c r="C947" t="s">
        <v>522</v>
      </c>
      <c r="D947">
        <v>705389520</v>
      </c>
      <c r="E947" t="s">
        <v>13</v>
      </c>
      <c r="F947" s="1">
        <v>45589</v>
      </c>
      <c r="G947" t="s">
        <v>10</v>
      </c>
      <c r="H947" s="2">
        <v>1587.84</v>
      </c>
      <c r="I947" t="s">
        <v>25</v>
      </c>
      <c r="J947" t="s">
        <v>11</v>
      </c>
      <c r="K947" t="s">
        <v>16</v>
      </c>
    </row>
    <row r="948" spans="1:11" x14ac:dyDescent="0.25">
      <c r="A948" t="s">
        <v>1371</v>
      </c>
      <c r="B948" t="s">
        <v>175</v>
      </c>
      <c r="C948" t="s">
        <v>1372</v>
      </c>
      <c r="D948">
        <v>667187938</v>
      </c>
      <c r="E948" t="s">
        <v>18</v>
      </c>
      <c r="F948" s="1">
        <v>45334</v>
      </c>
      <c r="G948" t="s">
        <v>423</v>
      </c>
      <c r="H948" s="2">
        <v>1297.3699999999999</v>
      </c>
      <c r="I948" t="s">
        <v>25</v>
      </c>
      <c r="J948" t="s">
        <v>11</v>
      </c>
      <c r="K948" t="s">
        <v>12</v>
      </c>
    </row>
    <row r="949" spans="1:11" x14ac:dyDescent="0.25">
      <c r="A949" t="s">
        <v>560</v>
      </c>
      <c r="B949" t="s">
        <v>71</v>
      </c>
      <c r="C949" t="s">
        <v>561</v>
      </c>
      <c r="D949">
        <v>747410141</v>
      </c>
      <c r="E949" t="s">
        <v>9</v>
      </c>
      <c r="F949" s="1">
        <v>45275</v>
      </c>
      <c r="G949" t="s">
        <v>418</v>
      </c>
      <c r="H949" s="2">
        <v>442.15</v>
      </c>
      <c r="I949" t="s">
        <v>25</v>
      </c>
      <c r="J949" t="s">
        <v>22</v>
      </c>
      <c r="K949" t="s">
        <v>12</v>
      </c>
    </row>
    <row r="950" spans="1:11" x14ac:dyDescent="0.25">
      <c r="A950" t="s">
        <v>1192</v>
      </c>
      <c r="B950" t="s">
        <v>372</v>
      </c>
      <c r="C950" t="s">
        <v>1193</v>
      </c>
      <c r="D950">
        <v>722844692</v>
      </c>
      <c r="E950" t="s">
        <v>18</v>
      </c>
      <c r="F950" s="1">
        <v>45244</v>
      </c>
      <c r="G950" t="s">
        <v>478</v>
      </c>
      <c r="H950" s="2">
        <v>477.25</v>
      </c>
      <c r="I950" t="s">
        <v>25</v>
      </c>
      <c r="J950" t="s">
        <v>36</v>
      </c>
      <c r="K950" t="s">
        <v>16</v>
      </c>
    </row>
    <row r="951" spans="1:11" x14ac:dyDescent="0.25">
      <c r="A951" t="s">
        <v>1373</v>
      </c>
      <c r="B951" t="s">
        <v>191</v>
      </c>
      <c r="C951" t="s">
        <v>1374</v>
      </c>
      <c r="D951">
        <v>719274770</v>
      </c>
      <c r="E951" t="s">
        <v>9</v>
      </c>
      <c r="F951" s="1">
        <v>45535</v>
      </c>
      <c r="G951" t="s">
        <v>32</v>
      </c>
      <c r="H951" s="2">
        <v>679</v>
      </c>
      <c r="I951" t="s">
        <v>444</v>
      </c>
      <c r="J951" t="s">
        <v>22</v>
      </c>
      <c r="K951" t="s">
        <v>16</v>
      </c>
    </row>
    <row r="952" spans="1:11" x14ac:dyDescent="0.25">
      <c r="A952" t="s">
        <v>713</v>
      </c>
      <c r="B952" t="s">
        <v>82</v>
      </c>
      <c r="C952" t="s">
        <v>714</v>
      </c>
      <c r="D952">
        <v>708352673</v>
      </c>
      <c r="E952" t="s">
        <v>9</v>
      </c>
      <c r="F952" s="1">
        <v>45205</v>
      </c>
      <c r="G952" t="s">
        <v>14</v>
      </c>
      <c r="H952" s="2">
        <v>1540.61</v>
      </c>
      <c r="I952" t="s">
        <v>25</v>
      </c>
      <c r="J952" t="s">
        <v>36</v>
      </c>
      <c r="K952" t="s">
        <v>12</v>
      </c>
    </row>
    <row r="953" spans="1:11" x14ac:dyDescent="0.25">
      <c r="A953" t="s">
        <v>1012</v>
      </c>
      <c r="B953" t="s">
        <v>192</v>
      </c>
      <c r="C953" t="s">
        <v>1013</v>
      </c>
      <c r="D953">
        <v>735892521</v>
      </c>
      <c r="E953" t="s">
        <v>18</v>
      </c>
      <c r="F953" s="1">
        <v>45325</v>
      </c>
      <c r="G953" t="s">
        <v>412</v>
      </c>
      <c r="H953" s="2">
        <v>1759.1</v>
      </c>
      <c r="I953" t="s">
        <v>25</v>
      </c>
      <c r="J953" t="s">
        <v>11</v>
      </c>
      <c r="K953" t="s">
        <v>16</v>
      </c>
    </row>
    <row r="954" spans="1:11" x14ac:dyDescent="0.25">
      <c r="A954" t="s">
        <v>1325</v>
      </c>
      <c r="B954" t="s">
        <v>1216</v>
      </c>
      <c r="C954" t="s">
        <v>1326</v>
      </c>
      <c r="D954">
        <v>841242864</v>
      </c>
      <c r="E954" t="s">
        <v>18</v>
      </c>
      <c r="F954" s="1">
        <v>45539</v>
      </c>
      <c r="G954" t="s">
        <v>603</v>
      </c>
      <c r="H954" s="2">
        <v>680.25</v>
      </c>
      <c r="I954" t="s">
        <v>444</v>
      </c>
      <c r="J954" t="s">
        <v>11</v>
      </c>
      <c r="K954" t="s">
        <v>16</v>
      </c>
    </row>
    <row r="955" spans="1:11" x14ac:dyDescent="0.25">
      <c r="A955" t="s">
        <v>833</v>
      </c>
      <c r="B955" t="s">
        <v>314</v>
      </c>
      <c r="C955" t="s">
        <v>834</v>
      </c>
      <c r="D955">
        <v>710390333</v>
      </c>
      <c r="E955" t="s">
        <v>18</v>
      </c>
      <c r="F955" s="1">
        <v>45371</v>
      </c>
      <c r="G955" t="s">
        <v>10</v>
      </c>
      <c r="H955" s="2">
        <v>425.24</v>
      </c>
      <c r="I955" t="s">
        <v>507</v>
      </c>
      <c r="J955" t="s">
        <v>26</v>
      </c>
      <c r="K955" t="s">
        <v>12</v>
      </c>
    </row>
    <row r="956" spans="1:11" x14ac:dyDescent="0.25">
      <c r="A956" t="s">
        <v>683</v>
      </c>
      <c r="B956" t="s">
        <v>142</v>
      </c>
      <c r="C956" t="s">
        <v>684</v>
      </c>
      <c r="D956">
        <v>722621294</v>
      </c>
      <c r="E956" t="s">
        <v>9</v>
      </c>
      <c r="F956" s="1">
        <v>45622</v>
      </c>
      <c r="G956" t="s">
        <v>418</v>
      </c>
      <c r="H956" s="2">
        <v>633.57000000000005</v>
      </c>
      <c r="I956" t="s">
        <v>25</v>
      </c>
      <c r="J956" t="s">
        <v>33</v>
      </c>
      <c r="K956" t="s">
        <v>12</v>
      </c>
    </row>
    <row r="957" spans="1:11" x14ac:dyDescent="0.25">
      <c r="A957" t="s">
        <v>843</v>
      </c>
      <c r="B957" t="s">
        <v>172</v>
      </c>
      <c r="C957" t="s">
        <v>844</v>
      </c>
      <c r="D957">
        <v>738447830</v>
      </c>
      <c r="E957" t="s">
        <v>18</v>
      </c>
      <c r="F957" s="1">
        <v>45255</v>
      </c>
      <c r="G957" t="s">
        <v>19</v>
      </c>
      <c r="H957" s="2">
        <v>653.19000000000005</v>
      </c>
      <c r="I957" t="s">
        <v>25</v>
      </c>
      <c r="J957" t="s">
        <v>11</v>
      </c>
      <c r="K957" t="s">
        <v>16</v>
      </c>
    </row>
    <row r="958" spans="1:11" x14ac:dyDescent="0.25">
      <c r="A958" t="s">
        <v>469</v>
      </c>
      <c r="B958" t="s">
        <v>304</v>
      </c>
      <c r="C958" t="s">
        <v>470</v>
      </c>
      <c r="D958">
        <v>742924464</v>
      </c>
      <c r="E958" t="s">
        <v>18</v>
      </c>
      <c r="F958" s="1">
        <v>45795</v>
      </c>
      <c r="G958" t="s">
        <v>443</v>
      </c>
      <c r="H958" s="2">
        <v>218.4</v>
      </c>
      <c r="I958" t="s">
        <v>25</v>
      </c>
      <c r="J958" t="s">
        <v>36</v>
      </c>
      <c r="K958" t="s">
        <v>12</v>
      </c>
    </row>
    <row r="959" spans="1:11" x14ac:dyDescent="0.25">
      <c r="A959" t="s">
        <v>1375</v>
      </c>
      <c r="B959" t="s">
        <v>46</v>
      </c>
      <c r="C959" t="s">
        <v>1376</v>
      </c>
      <c r="D959">
        <v>887675171</v>
      </c>
      <c r="E959" t="s">
        <v>9</v>
      </c>
      <c r="F959" s="1">
        <v>45839</v>
      </c>
      <c r="G959" t="s">
        <v>32</v>
      </c>
      <c r="H959" s="2">
        <v>1165.83</v>
      </c>
      <c r="I959" t="s">
        <v>25</v>
      </c>
      <c r="J959" t="s">
        <v>36</v>
      </c>
      <c r="K959" t="s">
        <v>12</v>
      </c>
    </row>
    <row r="960" spans="1:11" x14ac:dyDescent="0.25">
      <c r="A960" t="s">
        <v>1104</v>
      </c>
      <c r="B960" t="s">
        <v>150</v>
      </c>
      <c r="C960" t="s">
        <v>1105</v>
      </c>
      <c r="D960">
        <v>731165363</v>
      </c>
      <c r="E960" t="s">
        <v>18</v>
      </c>
      <c r="F960" s="1">
        <v>45511</v>
      </c>
      <c r="G960" t="s">
        <v>21</v>
      </c>
      <c r="H960" s="2">
        <v>177.53</v>
      </c>
      <c r="I960" t="s">
        <v>25</v>
      </c>
      <c r="J960" t="s">
        <v>11</v>
      </c>
      <c r="K960" t="s">
        <v>16</v>
      </c>
    </row>
    <row r="961" spans="1:11" x14ac:dyDescent="0.25">
      <c r="A961" t="s">
        <v>551</v>
      </c>
      <c r="B961" t="s">
        <v>333</v>
      </c>
      <c r="C961" t="s">
        <v>552</v>
      </c>
      <c r="D961">
        <v>907654118</v>
      </c>
      <c r="E961" t="s">
        <v>9</v>
      </c>
      <c r="F961" s="1">
        <v>45657</v>
      </c>
      <c r="G961" t="s">
        <v>423</v>
      </c>
      <c r="H961" s="2">
        <v>1197.21</v>
      </c>
      <c r="I961" t="s">
        <v>25</v>
      </c>
      <c r="J961" t="s">
        <v>33</v>
      </c>
      <c r="K961" t="s">
        <v>16</v>
      </c>
    </row>
    <row r="962" spans="1:11" x14ac:dyDescent="0.25">
      <c r="A962" t="s">
        <v>891</v>
      </c>
      <c r="B962" t="s">
        <v>892</v>
      </c>
      <c r="C962" t="s">
        <v>893</v>
      </c>
      <c r="D962">
        <v>644562274</v>
      </c>
      <c r="E962" t="s">
        <v>9</v>
      </c>
      <c r="F962" s="1">
        <v>45272</v>
      </c>
      <c r="G962" t="s">
        <v>415</v>
      </c>
      <c r="H962" s="2">
        <v>543.05999999999995</v>
      </c>
      <c r="I962" t="s">
        <v>25</v>
      </c>
      <c r="J962" t="s">
        <v>26</v>
      </c>
      <c r="K962" t="s">
        <v>12</v>
      </c>
    </row>
    <row r="963" spans="1:11" x14ac:dyDescent="0.25">
      <c r="A963" t="s">
        <v>620</v>
      </c>
      <c r="B963" t="s">
        <v>327</v>
      </c>
      <c r="C963" t="s">
        <v>621</v>
      </c>
      <c r="D963">
        <v>728693313</v>
      </c>
      <c r="E963" t="s">
        <v>18</v>
      </c>
      <c r="F963" s="1">
        <v>45182</v>
      </c>
      <c r="G963" t="s">
        <v>460</v>
      </c>
      <c r="H963" s="2">
        <v>1283.77</v>
      </c>
      <c r="I963" t="s">
        <v>25</v>
      </c>
      <c r="J963" t="s">
        <v>36</v>
      </c>
      <c r="K963" t="s">
        <v>12</v>
      </c>
    </row>
    <row r="964" spans="1:11" x14ac:dyDescent="0.25">
      <c r="A964" t="s">
        <v>1184</v>
      </c>
      <c r="B964" t="s">
        <v>260</v>
      </c>
      <c r="C964" t="s">
        <v>1185</v>
      </c>
      <c r="D964">
        <v>985194664</v>
      </c>
      <c r="E964" t="s">
        <v>9</v>
      </c>
      <c r="F964" s="1">
        <v>45335</v>
      </c>
      <c r="G964" t="s">
        <v>418</v>
      </c>
      <c r="H964" s="2">
        <v>1027.1600000000001</v>
      </c>
      <c r="I964" t="s">
        <v>507</v>
      </c>
      <c r="J964" t="s">
        <v>22</v>
      </c>
      <c r="K964" t="s">
        <v>16</v>
      </c>
    </row>
    <row r="965" spans="1:11" x14ac:dyDescent="0.25">
      <c r="A965" t="s">
        <v>675</v>
      </c>
      <c r="B965" t="s">
        <v>288</v>
      </c>
      <c r="C965" t="s">
        <v>676</v>
      </c>
      <c r="D965">
        <v>715497471</v>
      </c>
      <c r="E965" t="s">
        <v>9</v>
      </c>
      <c r="F965" s="1">
        <v>45575</v>
      </c>
      <c r="G965" t="s">
        <v>518</v>
      </c>
      <c r="H965" s="2">
        <v>262.3</v>
      </c>
      <c r="I965" t="s">
        <v>25</v>
      </c>
      <c r="J965" t="s">
        <v>15</v>
      </c>
      <c r="K965" t="s">
        <v>16</v>
      </c>
    </row>
    <row r="966" spans="1:11" x14ac:dyDescent="0.25">
      <c r="A966" t="s">
        <v>1072</v>
      </c>
      <c r="B966" t="s">
        <v>215</v>
      </c>
      <c r="C966" t="s">
        <v>1073</v>
      </c>
      <c r="D966">
        <v>729651240</v>
      </c>
      <c r="E966" t="s">
        <v>9</v>
      </c>
      <c r="F966" s="1">
        <v>45230</v>
      </c>
      <c r="G966" t="s">
        <v>460</v>
      </c>
      <c r="H966" s="2">
        <v>1631.78</v>
      </c>
      <c r="I966" t="s">
        <v>25</v>
      </c>
      <c r="J966" t="s">
        <v>11</v>
      </c>
      <c r="K966" t="s">
        <v>12</v>
      </c>
    </row>
    <row r="967" spans="1:11" x14ac:dyDescent="0.25">
      <c r="A967" t="s">
        <v>903</v>
      </c>
      <c r="B967" t="s">
        <v>113</v>
      </c>
      <c r="C967" t="s">
        <v>904</v>
      </c>
      <c r="D967">
        <v>680373214</v>
      </c>
      <c r="E967" t="s">
        <v>9</v>
      </c>
      <c r="F967" s="1">
        <v>45526</v>
      </c>
      <c r="G967" t="s">
        <v>21</v>
      </c>
      <c r="H967" s="2">
        <v>1423.54</v>
      </c>
      <c r="I967" t="s">
        <v>25</v>
      </c>
      <c r="J967" t="s">
        <v>33</v>
      </c>
      <c r="K967" t="s">
        <v>12</v>
      </c>
    </row>
    <row r="968" spans="1:11" x14ac:dyDescent="0.25">
      <c r="A968" t="s">
        <v>529</v>
      </c>
      <c r="B968" t="s">
        <v>31</v>
      </c>
      <c r="C968" t="s">
        <v>530</v>
      </c>
      <c r="D968">
        <v>699922916</v>
      </c>
      <c r="E968" t="s">
        <v>9</v>
      </c>
      <c r="F968" s="1">
        <v>45756</v>
      </c>
      <c r="G968" t="s">
        <v>29</v>
      </c>
      <c r="H968" s="2">
        <v>890.27</v>
      </c>
      <c r="I968" t="s">
        <v>25</v>
      </c>
      <c r="J968" t="s">
        <v>36</v>
      </c>
      <c r="K968" t="s">
        <v>16</v>
      </c>
    </row>
    <row r="969" spans="1:11" x14ac:dyDescent="0.25">
      <c r="A969" t="s">
        <v>438</v>
      </c>
      <c r="B969" t="s">
        <v>153</v>
      </c>
      <c r="C969" t="s">
        <v>439</v>
      </c>
      <c r="D969">
        <v>734311637</v>
      </c>
      <c r="E969" t="s">
        <v>9</v>
      </c>
      <c r="F969" s="1">
        <v>45560</v>
      </c>
      <c r="G969" t="s">
        <v>440</v>
      </c>
      <c r="H969" s="2">
        <v>1384.42</v>
      </c>
      <c r="I969" t="s">
        <v>25</v>
      </c>
      <c r="J969" t="s">
        <v>11</v>
      </c>
      <c r="K969" t="s">
        <v>16</v>
      </c>
    </row>
    <row r="970" spans="1:11" x14ac:dyDescent="0.25">
      <c r="A970" t="s">
        <v>610</v>
      </c>
      <c r="B970" t="s">
        <v>385</v>
      </c>
      <c r="C970" t="s">
        <v>611</v>
      </c>
      <c r="D970">
        <v>709840779</v>
      </c>
      <c r="E970" t="s">
        <v>13</v>
      </c>
      <c r="F970" s="1">
        <v>45581</v>
      </c>
      <c r="G970" t="s">
        <v>14</v>
      </c>
      <c r="H970" s="2">
        <v>1637.86</v>
      </c>
      <c r="I970" t="s">
        <v>25</v>
      </c>
      <c r="J970" t="s">
        <v>11</v>
      </c>
      <c r="K970" t="s">
        <v>12</v>
      </c>
    </row>
    <row r="971" spans="1:11" x14ac:dyDescent="0.25">
      <c r="A971" t="s">
        <v>570</v>
      </c>
      <c r="B971" t="s">
        <v>571</v>
      </c>
      <c r="C971" t="s">
        <v>572</v>
      </c>
      <c r="D971">
        <v>713291022</v>
      </c>
      <c r="E971" t="s">
        <v>13</v>
      </c>
      <c r="F971" s="1">
        <v>45878</v>
      </c>
      <c r="G971" t="s">
        <v>418</v>
      </c>
      <c r="H971" s="2">
        <v>1347.74</v>
      </c>
      <c r="I971" t="s">
        <v>25</v>
      </c>
      <c r="J971" t="s">
        <v>11</v>
      </c>
      <c r="K971" t="s">
        <v>16</v>
      </c>
    </row>
    <row r="972" spans="1:11" x14ac:dyDescent="0.25">
      <c r="A972" t="s">
        <v>1213</v>
      </c>
      <c r="B972" t="s">
        <v>284</v>
      </c>
      <c r="C972" t="s">
        <v>1214</v>
      </c>
      <c r="D972">
        <v>701336805</v>
      </c>
      <c r="E972" t="s">
        <v>18</v>
      </c>
      <c r="F972" s="1">
        <v>45703</v>
      </c>
      <c r="G972" t="s">
        <v>21</v>
      </c>
      <c r="H972" s="2">
        <v>468.71</v>
      </c>
      <c r="I972" t="s">
        <v>25</v>
      </c>
      <c r="J972" t="s">
        <v>33</v>
      </c>
      <c r="K972" t="s">
        <v>16</v>
      </c>
    </row>
    <row r="973" spans="1:11" x14ac:dyDescent="0.25">
      <c r="A973" t="s">
        <v>679</v>
      </c>
      <c r="B973" t="s">
        <v>194</v>
      </c>
      <c r="C973" t="s">
        <v>680</v>
      </c>
      <c r="D973">
        <v>713186177</v>
      </c>
      <c r="E973" t="s">
        <v>18</v>
      </c>
      <c r="F973" s="1">
        <v>45462</v>
      </c>
      <c r="G973" t="s">
        <v>418</v>
      </c>
      <c r="H973" s="2">
        <v>317.05</v>
      </c>
      <c r="I973" t="s">
        <v>25</v>
      </c>
      <c r="J973" t="s">
        <v>11</v>
      </c>
      <c r="K973" t="s">
        <v>16</v>
      </c>
    </row>
    <row r="974" spans="1:11" x14ac:dyDescent="0.25">
      <c r="A974" t="s">
        <v>620</v>
      </c>
      <c r="B974" t="s">
        <v>327</v>
      </c>
      <c r="C974" t="s">
        <v>621</v>
      </c>
      <c r="D974">
        <v>728693313</v>
      </c>
      <c r="E974" t="s">
        <v>18</v>
      </c>
      <c r="F974" s="1">
        <v>45503</v>
      </c>
      <c r="G974" t="s">
        <v>460</v>
      </c>
      <c r="H974" s="2">
        <v>128.21</v>
      </c>
      <c r="I974" t="s">
        <v>25</v>
      </c>
      <c r="J974" t="s">
        <v>36</v>
      </c>
      <c r="K974" t="s">
        <v>12</v>
      </c>
    </row>
    <row r="975" spans="1:11" x14ac:dyDescent="0.25">
      <c r="A975" t="s">
        <v>1259</v>
      </c>
      <c r="B975" t="s">
        <v>76</v>
      </c>
      <c r="C975" t="s">
        <v>1260</v>
      </c>
      <c r="D975">
        <v>942844383</v>
      </c>
      <c r="E975" t="s">
        <v>9</v>
      </c>
      <c r="F975" s="1">
        <v>45700</v>
      </c>
      <c r="G975" t="s">
        <v>32</v>
      </c>
      <c r="H975" s="2">
        <v>1289.19</v>
      </c>
      <c r="I975" t="s">
        <v>444</v>
      </c>
      <c r="J975" t="s">
        <v>22</v>
      </c>
      <c r="K975" t="s">
        <v>16</v>
      </c>
    </row>
    <row r="976" spans="1:11" x14ac:dyDescent="0.25">
      <c r="A976" t="s">
        <v>1377</v>
      </c>
      <c r="B976" t="s">
        <v>56</v>
      </c>
      <c r="C976" t="s">
        <v>1378</v>
      </c>
      <c r="D976">
        <v>717669942</v>
      </c>
      <c r="E976" t="s">
        <v>9</v>
      </c>
      <c r="F976" s="1">
        <v>45537</v>
      </c>
      <c r="G976" t="s">
        <v>24</v>
      </c>
      <c r="H976" s="2">
        <v>1443.43</v>
      </c>
      <c r="I976" t="s">
        <v>25</v>
      </c>
      <c r="J976" t="s">
        <v>11</v>
      </c>
      <c r="K976" t="s">
        <v>12</v>
      </c>
    </row>
    <row r="977" spans="1:11" x14ac:dyDescent="0.25">
      <c r="A977" t="s">
        <v>582</v>
      </c>
      <c r="B977" t="s">
        <v>347</v>
      </c>
      <c r="C977" t="s">
        <v>583</v>
      </c>
      <c r="D977">
        <v>937606933</v>
      </c>
      <c r="E977" t="s">
        <v>9</v>
      </c>
      <c r="F977" s="1">
        <v>45866</v>
      </c>
      <c r="G977" t="s">
        <v>443</v>
      </c>
      <c r="H977" s="2">
        <v>501.58</v>
      </c>
      <c r="I977" t="s">
        <v>25</v>
      </c>
      <c r="J977" t="s">
        <v>33</v>
      </c>
      <c r="K977" t="s">
        <v>16</v>
      </c>
    </row>
    <row r="978" spans="1:11" x14ac:dyDescent="0.25">
      <c r="A978" t="s">
        <v>1048</v>
      </c>
      <c r="B978" t="s">
        <v>133</v>
      </c>
      <c r="C978" t="s">
        <v>1049</v>
      </c>
      <c r="D978">
        <v>730098459</v>
      </c>
      <c r="E978" t="s">
        <v>9</v>
      </c>
      <c r="F978" s="1">
        <v>45810</v>
      </c>
      <c r="G978" t="s">
        <v>47</v>
      </c>
      <c r="H978" s="2">
        <v>50.57</v>
      </c>
      <c r="I978" t="s">
        <v>25</v>
      </c>
      <c r="J978" t="s">
        <v>33</v>
      </c>
      <c r="K978" t="s">
        <v>12</v>
      </c>
    </row>
    <row r="979" spans="1:11" x14ac:dyDescent="0.25">
      <c r="A979" t="s">
        <v>441</v>
      </c>
      <c r="B979" t="s">
        <v>55</v>
      </c>
      <c r="C979" t="s">
        <v>442</v>
      </c>
      <c r="D979">
        <v>667768968</v>
      </c>
      <c r="E979" t="s">
        <v>9</v>
      </c>
      <c r="F979" s="1">
        <v>45868</v>
      </c>
      <c r="G979" t="s">
        <v>443</v>
      </c>
      <c r="H979" s="2">
        <v>1382.74</v>
      </c>
      <c r="I979" t="s">
        <v>444</v>
      </c>
      <c r="J979" t="s">
        <v>36</v>
      </c>
      <c r="K979" t="s">
        <v>12</v>
      </c>
    </row>
    <row r="980" spans="1:11" x14ac:dyDescent="0.25">
      <c r="A980" t="s">
        <v>1088</v>
      </c>
      <c r="B980" t="s">
        <v>179</v>
      </c>
      <c r="C980" t="s">
        <v>1089</v>
      </c>
      <c r="D980">
        <v>676942883</v>
      </c>
      <c r="E980" t="s">
        <v>9</v>
      </c>
      <c r="F980" s="1">
        <v>45840</v>
      </c>
      <c r="G980" t="s">
        <v>440</v>
      </c>
      <c r="H980" s="2">
        <v>1156.07</v>
      </c>
      <c r="I980" t="s">
        <v>25</v>
      </c>
      <c r="J980" t="s">
        <v>22</v>
      </c>
      <c r="K980" t="s">
        <v>16</v>
      </c>
    </row>
    <row r="981" spans="1:11" x14ac:dyDescent="0.25">
      <c r="A981" t="s">
        <v>1379</v>
      </c>
      <c r="B981" t="s">
        <v>171</v>
      </c>
      <c r="C981" t="s">
        <v>1380</v>
      </c>
      <c r="D981">
        <v>737552059</v>
      </c>
      <c r="E981" t="s">
        <v>9</v>
      </c>
      <c r="F981" s="1">
        <v>45687</v>
      </c>
      <c r="G981" t="s">
        <v>39</v>
      </c>
      <c r="H981" s="2">
        <v>1364.3</v>
      </c>
      <c r="I981" t="s">
        <v>25</v>
      </c>
      <c r="J981" t="s">
        <v>11</v>
      </c>
      <c r="K981" t="s">
        <v>16</v>
      </c>
    </row>
    <row r="982" spans="1:11" x14ac:dyDescent="0.25">
      <c r="A982" t="s">
        <v>416</v>
      </c>
      <c r="B982" t="s">
        <v>145</v>
      </c>
      <c r="C982" t="s">
        <v>417</v>
      </c>
      <c r="D982">
        <v>714510122</v>
      </c>
      <c r="E982" t="s">
        <v>9</v>
      </c>
      <c r="F982" s="1">
        <v>45636</v>
      </c>
      <c r="G982" t="s">
        <v>418</v>
      </c>
      <c r="H982" s="2">
        <v>267.83999999999997</v>
      </c>
      <c r="I982" t="s">
        <v>25</v>
      </c>
      <c r="J982" t="s">
        <v>11</v>
      </c>
      <c r="K982" t="s">
        <v>16</v>
      </c>
    </row>
    <row r="983" spans="1:11" x14ac:dyDescent="0.25">
      <c r="A983" t="s">
        <v>1054</v>
      </c>
      <c r="B983" t="s">
        <v>312</v>
      </c>
      <c r="C983" t="s">
        <v>1055</v>
      </c>
      <c r="D983">
        <v>742903473</v>
      </c>
      <c r="E983" t="s">
        <v>9</v>
      </c>
      <c r="F983" s="1">
        <v>45853</v>
      </c>
      <c r="G983" t="s">
        <v>418</v>
      </c>
      <c r="H983" s="2">
        <v>556.80999999999995</v>
      </c>
      <c r="I983" t="s">
        <v>25</v>
      </c>
      <c r="J983" t="s">
        <v>33</v>
      </c>
      <c r="K983" t="s">
        <v>16</v>
      </c>
    </row>
    <row r="984" spans="1:11" x14ac:dyDescent="0.25">
      <c r="A984" t="s">
        <v>853</v>
      </c>
      <c r="B984" t="s">
        <v>854</v>
      </c>
      <c r="C984" t="s">
        <v>855</v>
      </c>
      <c r="D984">
        <v>731844990</v>
      </c>
      <c r="E984" t="s">
        <v>18</v>
      </c>
      <c r="F984" s="1">
        <v>45466</v>
      </c>
      <c r="G984" t="s">
        <v>14</v>
      </c>
      <c r="H984" s="2">
        <v>117.81</v>
      </c>
      <c r="I984" t="s">
        <v>507</v>
      </c>
      <c r="J984" t="s">
        <v>33</v>
      </c>
      <c r="K984" t="s">
        <v>16</v>
      </c>
    </row>
    <row r="985" spans="1:11" x14ac:dyDescent="0.25">
      <c r="A985" t="s">
        <v>424</v>
      </c>
      <c r="B985" t="s">
        <v>137</v>
      </c>
      <c r="C985" t="s">
        <v>425</v>
      </c>
      <c r="D985">
        <v>733868257</v>
      </c>
      <c r="E985" t="s">
        <v>18</v>
      </c>
      <c r="F985" s="1">
        <v>45593</v>
      </c>
      <c r="G985" t="s">
        <v>415</v>
      </c>
      <c r="H985" s="2">
        <v>147.22999999999999</v>
      </c>
      <c r="I985" t="s">
        <v>25</v>
      </c>
      <c r="J985" t="s">
        <v>11</v>
      </c>
      <c r="K985" t="s">
        <v>12</v>
      </c>
    </row>
    <row r="986" spans="1:11" x14ac:dyDescent="0.25">
      <c r="A986" t="s">
        <v>1381</v>
      </c>
      <c r="B986" t="s">
        <v>186</v>
      </c>
      <c r="C986" t="s">
        <v>1382</v>
      </c>
      <c r="D986">
        <v>728753739</v>
      </c>
      <c r="E986" t="s">
        <v>18</v>
      </c>
      <c r="F986" s="1">
        <v>45468</v>
      </c>
      <c r="G986" t="s">
        <v>423</v>
      </c>
      <c r="H986" s="2">
        <v>1793.9</v>
      </c>
      <c r="I986" t="s">
        <v>507</v>
      </c>
      <c r="J986" t="s">
        <v>11</v>
      </c>
      <c r="K986" t="s">
        <v>12</v>
      </c>
    </row>
    <row r="987" spans="1:11" x14ac:dyDescent="0.25">
      <c r="A987" t="s">
        <v>919</v>
      </c>
      <c r="B987" t="s">
        <v>338</v>
      </c>
      <c r="C987" t="s">
        <v>920</v>
      </c>
      <c r="D987">
        <v>650924818</v>
      </c>
      <c r="E987" t="s">
        <v>18</v>
      </c>
      <c r="F987" s="1">
        <v>45776</v>
      </c>
      <c r="G987" t="s">
        <v>19</v>
      </c>
      <c r="H987" s="2">
        <v>84.57</v>
      </c>
      <c r="I987" t="s">
        <v>25</v>
      </c>
      <c r="J987" t="s">
        <v>36</v>
      </c>
      <c r="K987" t="s">
        <v>16</v>
      </c>
    </row>
    <row r="988" spans="1:11" x14ac:dyDescent="0.25">
      <c r="A988" t="s">
        <v>622</v>
      </c>
      <c r="B988" t="s">
        <v>274</v>
      </c>
      <c r="C988" t="s">
        <v>623</v>
      </c>
      <c r="D988">
        <v>749724328</v>
      </c>
      <c r="E988" t="s">
        <v>9</v>
      </c>
      <c r="F988" s="1">
        <v>45500</v>
      </c>
      <c r="G988" t="s">
        <v>624</v>
      </c>
      <c r="H988" s="2">
        <v>941.54</v>
      </c>
      <c r="I988" t="s">
        <v>25</v>
      </c>
      <c r="J988" t="s">
        <v>33</v>
      </c>
      <c r="K988" t="s">
        <v>12</v>
      </c>
    </row>
    <row r="989" spans="1:11" x14ac:dyDescent="0.25">
      <c r="A989" t="s">
        <v>514</v>
      </c>
      <c r="B989" t="s">
        <v>292</v>
      </c>
      <c r="C989" t="s">
        <v>515</v>
      </c>
      <c r="D989">
        <v>726799934</v>
      </c>
      <c r="E989" t="s">
        <v>18</v>
      </c>
      <c r="F989" s="1">
        <v>45244</v>
      </c>
      <c r="G989" t="s">
        <v>440</v>
      </c>
      <c r="H989" s="2">
        <v>1695.75</v>
      </c>
      <c r="I989" t="s">
        <v>25</v>
      </c>
      <c r="J989" t="s">
        <v>33</v>
      </c>
      <c r="K989" t="s">
        <v>16</v>
      </c>
    </row>
    <row r="990" spans="1:11" x14ac:dyDescent="0.25">
      <c r="A990" t="s">
        <v>767</v>
      </c>
      <c r="B990" t="s">
        <v>114</v>
      </c>
      <c r="C990" t="s">
        <v>768</v>
      </c>
      <c r="D990">
        <v>730016083</v>
      </c>
      <c r="E990" t="s">
        <v>13</v>
      </c>
      <c r="F990" s="1">
        <v>45572</v>
      </c>
      <c r="G990" t="s">
        <v>460</v>
      </c>
      <c r="H990" s="2">
        <v>376.18</v>
      </c>
      <c r="I990" t="s">
        <v>25</v>
      </c>
      <c r="J990" t="s">
        <v>11</v>
      </c>
      <c r="K990" t="s">
        <v>12</v>
      </c>
    </row>
    <row r="991" spans="1:11" x14ac:dyDescent="0.25">
      <c r="A991" t="s">
        <v>889</v>
      </c>
      <c r="B991" t="s">
        <v>49</v>
      </c>
      <c r="C991" t="s">
        <v>890</v>
      </c>
      <c r="D991">
        <v>651438049</v>
      </c>
      <c r="E991" t="s">
        <v>9</v>
      </c>
      <c r="F991" s="1">
        <v>45277</v>
      </c>
      <c r="G991" t="s">
        <v>35</v>
      </c>
      <c r="H991" s="2">
        <v>316.14999999999998</v>
      </c>
      <c r="I991" t="s">
        <v>444</v>
      </c>
      <c r="J991" t="s">
        <v>22</v>
      </c>
      <c r="K991" t="s">
        <v>12</v>
      </c>
    </row>
    <row r="992" spans="1:11" x14ac:dyDescent="0.25">
      <c r="A992" t="s">
        <v>1014</v>
      </c>
      <c r="B992" t="s">
        <v>120</v>
      </c>
      <c r="C992" t="s">
        <v>1015</v>
      </c>
      <c r="D992">
        <v>701325298</v>
      </c>
      <c r="E992" t="s">
        <v>9</v>
      </c>
      <c r="F992" s="1">
        <v>45844</v>
      </c>
      <c r="G992" t="s">
        <v>440</v>
      </c>
      <c r="H992" s="2">
        <v>563.1</v>
      </c>
      <c r="I992" t="s">
        <v>25</v>
      </c>
      <c r="J992" t="s">
        <v>22</v>
      </c>
      <c r="K992" t="s">
        <v>16</v>
      </c>
    </row>
    <row r="993" spans="1:11" x14ac:dyDescent="0.25">
      <c r="A993" t="s">
        <v>1155</v>
      </c>
      <c r="B993" t="s">
        <v>218</v>
      </c>
      <c r="C993" t="s">
        <v>1156</v>
      </c>
      <c r="D993">
        <v>703370540</v>
      </c>
      <c r="E993" t="s">
        <v>9</v>
      </c>
      <c r="F993" s="1">
        <v>45769</v>
      </c>
      <c r="G993" t="s">
        <v>35</v>
      </c>
      <c r="H993" s="2">
        <v>1397.05</v>
      </c>
      <c r="I993" t="s">
        <v>507</v>
      </c>
      <c r="J993" t="s">
        <v>11</v>
      </c>
      <c r="K993" t="s">
        <v>16</v>
      </c>
    </row>
    <row r="994" spans="1:11" x14ac:dyDescent="0.25">
      <c r="A994" t="s">
        <v>765</v>
      </c>
      <c r="B994" t="s">
        <v>248</v>
      </c>
      <c r="C994" t="s">
        <v>766</v>
      </c>
      <c r="D994">
        <v>745695976</v>
      </c>
      <c r="E994" t="s">
        <v>9</v>
      </c>
      <c r="F994" s="1">
        <v>45899</v>
      </c>
      <c r="G994" t="s">
        <v>412</v>
      </c>
      <c r="H994" s="2">
        <v>1042.53</v>
      </c>
      <c r="I994" t="s">
        <v>25</v>
      </c>
      <c r="J994" t="s">
        <v>33</v>
      </c>
      <c r="K994" t="s">
        <v>12</v>
      </c>
    </row>
    <row r="995" spans="1:11" x14ac:dyDescent="0.25">
      <c r="A995" t="s">
        <v>717</v>
      </c>
      <c r="B995" t="s">
        <v>208</v>
      </c>
      <c r="C995" t="s">
        <v>718</v>
      </c>
      <c r="D995">
        <v>723570924</v>
      </c>
      <c r="E995" t="s">
        <v>9</v>
      </c>
      <c r="F995" s="1">
        <v>45333</v>
      </c>
      <c r="G995" t="s">
        <v>506</v>
      </c>
      <c r="H995" s="2">
        <v>796.63</v>
      </c>
      <c r="I995" t="s">
        <v>25</v>
      </c>
      <c r="J995" t="s">
        <v>22</v>
      </c>
      <c r="K995" t="s">
        <v>16</v>
      </c>
    </row>
    <row r="996" spans="1:11" x14ac:dyDescent="0.25">
      <c r="A996" t="s">
        <v>754</v>
      </c>
      <c r="B996" t="s">
        <v>307</v>
      </c>
      <c r="C996" t="s">
        <v>755</v>
      </c>
      <c r="D996">
        <v>726605821</v>
      </c>
      <c r="E996" t="s">
        <v>18</v>
      </c>
      <c r="F996" s="1">
        <v>45830</v>
      </c>
      <c r="G996" t="s">
        <v>24</v>
      </c>
      <c r="H996" s="2">
        <v>1530.84</v>
      </c>
      <c r="I996" t="s">
        <v>25</v>
      </c>
      <c r="J996" t="s">
        <v>11</v>
      </c>
      <c r="K996" t="s">
        <v>12</v>
      </c>
    </row>
    <row r="997" spans="1:11" x14ac:dyDescent="0.25">
      <c r="A997" t="s">
        <v>1112</v>
      </c>
      <c r="B997" t="s">
        <v>1113</v>
      </c>
      <c r="C997" t="s">
        <v>1114</v>
      </c>
      <c r="D997">
        <v>636255184</v>
      </c>
      <c r="E997" t="s">
        <v>9</v>
      </c>
      <c r="F997" s="1">
        <v>45902</v>
      </c>
      <c r="G997" t="s">
        <v>415</v>
      </c>
      <c r="H997" s="2">
        <v>1233.8800000000001</v>
      </c>
      <c r="I997" t="s">
        <v>25</v>
      </c>
      <c r="J997" t="s">
        <v>26</v>
      </c>
      <c r="K997" t="s">
        <v>16</v>
      </c>
    </row>
    <row r="998" spans="1:11" x14ac:dyDescent="0.25">
      <c r="A998" t="s">
        <v>833</v>
      </c>
      <c r="B998" t="s">
        <v>314</v>
      </c>
      <c r="C998" t="s">
        <v>834</v>
      </c>
      <c r="D998">
        <v>710390333</v>
      </c>
      <c r="E998" t="s">
        <v>18</v>
      </c>
      <c r="F998" s="1">
        <v>45272</v>
      </c>
      <c r="G998" t="s">
        <v>10</v>
      </c>
      <c r="H998" s="2">
        <v>1540.97</v>
      </c>
      <c r="I998" t="s">
        <v>25</v>
      </c>
      <c r="J998" t="s">
        <v>36</v>
      </c>
      <c r="K998" t="s">
        <v>12</v>
      </c>
    </row>
    <row r="999" spans="1:11" x14ac:dyDescent="0.25">
      <c r="A999" t="s">
        <v>416</v>
      </c>
      <c r="B999" t="s">
        <v>145</v>
      </c>
      <c r="C999" t="s">
        <v>417</v>
      </c>
      <c r="D999">
        <v>714510122</v>
      </c>
      <c r="E999" t="s">
        <v>9</v>
      </c>
      <c r="F999" s="1">
        <v>45461</v>
      </c>
      <c r="G999" t="s">
        <v>418</v>
      </c>
      <c r="H999" s="2">
        <v>1866.94</v>
      </c>
      <c r="I999" t="s">
        <v>25</v>
      </c>
      <c r="J999" t="s">
        <v>36</v>
      </c>
      <c r="K999" t="s">
        <v>12</v>
      </c>
    </row>
    <row r="1000" spans="1:11" x14ac:dyDescent="0.25">
      <c r="A1000" t="s">
        <v>1006</v>
      </c>
      <c r="B1000" t="s">
        <v>143</v>
      </c>
      <c r="C1000" t="s">
        <v>1007</v>
      </c>
      <c r="D1000">
        <v>892885525</v>
      </c>
      <c r="E1000" t="s">
        <v>18</v>
      </c>
      <c r="F1000" s="1">
        <v>45806</v>
      </c>
      <c r="G1000" t="s">
        <v>47</v>
      </c>
      <c r="H1000" s="2">
        <v>1675</v>
      </c>
      <c r="I1000" t="s">
        <v>25</v>
      </c>
      <c r="J1000" t="s">
        <v>11</v>
      </c>
      <c r="K1000" t="s">
        <v>16</v>
      </c>
    </row>
    <row r="1001" spans="1:11" x14ac:dyDescent="0.25">
      <c r="A1001" t="s">
        <v>1004</v>
      </c>
      <c r="B1001" t="s">
        <v>348</v>
      </c>
      <c r="C1001" t="s">
        <v>1005</v>
      </c>
      <c r="D1001">
        <v>745520576</v>
      </c>
      <c r="E1001" t="s">
        <v>18</v>
      </c>
      <c r="F1001" s="1">
        <v>45189</v>
      </c>
      <c r="G1001" t="s">
        <v>415</v>
      </c>
      <c r="H1001" s="2">
        <v>426.6</v>
      </c>
      <c r="I1001" t="s">
        <v>444</v>
      </c>
      <c r="J1001" t="s">
        <v>36</v>
      </c>
      <c r="K1001" t="s">
        <v>16</v>
      </c>
    </row>
    <row r="1002" spans="1:11" x14ac:dyDescent="0.25">
      <c r="A1002" t="s">
        <v>1153</v>
      </c>
      <c r="B1002" t="s">
        <v>1046</v>
      </c>
      <c r="C1002" t="s">
        <v>1154</v>
      </c>
      <c r="D1002">
        <v>717920847</v>
      </c>
      <c r="E1002" t="s">
        <v>9</v>
      </c>
      <c r="F1002" s="1">
        <v>45713</v>
      </c>
      <c r="G1002" t="s">
        <v>440</v>
      </c>
      <c r="H1002" s="2">
        <v>714.62</v>
      </c>
      <c r="I1002" t="s">
        <v>444</v>
      </c>
      <c r="J1002" t="s">
        <v>33</v>
      </c>
      <c r="K1002" t="s">
        <v>16</v>
      </c>
    </row>
    <row r="1003" spans="1:11" x14ac:dyDescent="0.25">
      <c r="A1003" t="s">
        <v>1274</v>
      </c>
      <c r="B1003" t="s">
        <v>261</v>
      </c>
      <c r="C1003" t="s">
        <v>1275</v>
      </c>
      <c r="D1003">
        <v>730694210</v>
      </c>
      <c r="E1003" t="s">
        <v>18</v>
      </c>
      <c r="F1003" s="1">
        <v>45379</v>
      </c>
      <c r="G1003" t="s">
        <v>14</v>
      </c>
      <c r="H1003" s="2">
        <v>385.88</v>
      </c>
      <c r="I1003" t="s">
        <v>25</v>
      </c>
      <c r="J1003" t="s">
        <v>11</v>
      </c>
      <c r="K1003" t="s">
        <v>16</v>
      </c>
    </row>
    <row r="1004" spans="1:11" x14ac:dyDescent="0.25">
      <c r="A1004" t="s">
        <v>1259</v>
      </c>
      <c r="B1004" t="s">
        <v>76</v>
      </c>
      <c r="C1004" t="s">
        <v>1260</v>
      </c>
      <c r="D1004">
        <v>942844383</v>
      </c>
      <c r="E1004" t="s">
        <v>9</v>
      </c>
      <c r="F1004" s="1">
        <v>45374</v>
      </c>
      <c r="G1004" t="s">
        <v>32</v>
      </c>
      <c r="H1004" s="2">
        <v>1870.46</v>
      </c>
      <c r="I1004" t="s">
        <v>25</v>
      </c>
      <c r="J1004" t="s">
        <v>33</v>
      </c>
      <c r="K1004" t="s">
        <v>16</v>
      </c>
    </row>
    <row r="1005" spans="1:11" x14ac:dyDescent="0.25">
      <c r="A1005" t="s">
        <v>737</v>
      </c>
      <c r="B1005" t="s">
        <v>80</v>
      </c>
      <c r="C1005" t="s">
        <v>738</v>
      </c>
      <c r="D1005">
        <v>860807644</v>
      </c>
      <c r="E1005" t="s">
        <v>9</v>
      </c>
      <c r="F1005" s="1">
        <v>45869</v>
      </c>
      <c r="G1005" t="s">
        <v>440</v>
      </c>
      <c r="H1005" s="2">
        <v>971.05</v>
      </c>
      <c r="I1005" t="s">
        <v>25</v>
      </c>
      <c r="J1005" t="s">
        <v>33</v>
      </c>
      <c r="K1005" t="s">
        <v>12</v>
      </c>
    </row>
    <row r="1006" spans="1:11" x14ac:dyDescent="0.25">
      <c r="A1006" t="s">
        <v>693</v>
      </c>
      <c r="B1006" t="s">
        <v>239</v>
      </c>
      <c r="C1006" t="s">
        <v>694</v>
      </c>
      <c r="D1006">
        <v>941385528</v>
      </c>
      <c r="E1006" t="s">
        <v>13</v>
      </c>
      <c r="F1006" s="1">
        <v>45339</v>
      </c>
      <c r="G1006" t="s">
        <v>19</v>
      </c>
      <c r="H1006" s="2">
        <v>790.43</v>
      </c>
      <c r="I1006" t="s">
        <v>25</v>
      </c>
      <c r="J1006" t="s">
        <v>11</v>
      </c>
      <c r="K1006" t="s">
        <v>16</v>
      </c>
    </row>
    <row r="1007" spans="1:11" x14ac:dyDescent="0.25">
      <c r="A1007" t="s">
        <v>1022</v>
      </c>
      <c r="B1007" t="s">
        <v>181</v>
      </c>
      <c r="C1007" t="s">
        <v>1023</v>
      </c>
      <c r="D1007">
        <v>711121687</v>
      </c>
      <c r="E1007" t="s">
        <v>18</v>
      </c>
      <c r="F1007" s="1">
        <v>45280</v>
      </c>
      <c r="G1007" t="s">
        <v>423</v>
      </c>
      <c r="H1007" s="2">
        <v>1583.26</v>
      </c>
      <c r="I1007" t="s">
        <v>25</v>
      </c>
      <c r="J1007" t="s">
        <v>11</v>
      </c>
      <c r="K1007" t="s">
        <v>16</v>
      </c>
    </row>
    <row r="1008" spans="1:11" x14ac:dyDescent="0.25">
      <c r="A1008" t="s">
        <v>660</v>
      </c>
      <c r="B1008" t="s">
        <v>325</v>
      </c>
      <c r="C1008" t="s">
        <v>661</v>
      </c>
      <c r="D1008">
        <v>727937300</v>
      </c>
      <c r="E1008" t="s">
        <v>9</v>
      </c>
      <c r="F1008" s="1">
        <v>45743</v>
      </c>
      <c r="G1008" t="s">
        <v>47</v>
      </c>
      <c r="H1008" s="2">
        <v>1846.08</v>
      </c>
      <c r="I1008" t="s">
        <v>25</v>
      </c>
      <c r="J1008" t="s">
        <v>22</v>
      </c>
      <c r="K1008" t="s">
        <v>16</v>
      </c>
    </row>
    <row r="1009" spans="1:11" x14ac:dyDescent="0.25">
      <c r="A1009" t="s">
        <v>622</v>
      </c>
      <c r="B1009" t="s">
        <v>274</v>
      </c>
      <c r="C1009" t="s">
        <v>623</v>
      </c>
      <c r="D1009">
        <v>749724328</v>
      </c>
      <c r="E1009" t="s">
        <v>9</v>
      </c>
      <c r="F1009" s="1">
        <v>45313</v>
      </c>
      <c r="G1009" t="s">
        <v>624</v>
      </c>
      <c r="H1009" s="2">
        <v>1015.45</v>
      </c>
      <c r="I1009" t="s">
        <v>25</v>
      </c>
      <c r="J1009" t="s">
        <v>22</v>
      </c>
      <c r="K1009" t="s">
        <v>16</v>
      </c>
    </row>
    <row r="1010" spans="1:11" x14ac:dyDescent="0.25">
      <c r="A1010" t="s">
        <v>589</v>
      </c>
      <c r="B1010" t="s">
        <v>70</v>
      </c>
      <c r="C1010" t="s">
        <v>590</v>
      </c>
      <c r="D1010">
        <v>816160530</v>
      </c>
      <c r="E1010" t="s">
        <v>18</v>
      </c>
      <c r="F1010" s="1">
        <v>45843</v>
      </c>
      <c r="G1010" t="s">
        <v>24</v>
      </c>
      <c r="H1010" s="2">
        <v>73.260000000000005</v>
      </c>
      <c r="I1010" t="s">
        <v>25</v>
      </c>
      <c r="J1010" t="s">
        <v>36</v>
      </c>
      <c r="K1010" t="s">
        <v>16</v>
      </c>
    </row>
    <row r="1011" spans="1:11" x14ac:dyDescent="0.25">
      <c r="A1011" t="s">
        <v>639</v>
      </c>
      <c r="B1011" t="s">
        <v>259</v>
      </c>
      <c r="C1011" t="s">
        <v>640</v>
      </c>
      <c r="D1011">
        <v>930065477</v>
      </c>
      <c r="E1011" t="s">
        <v>9</v>
      </c>
      <c r="F1011" s="1">
        <v>45817</v>
      </c>
      <c r="G1011" t="s">
        <v>35</v>
      </c>
      <c r="H1011" s="2">
        <v>353.37</v>
      </c>
      <c r="I1011" t="s">
        <v>25</v>
      </c>
      <c r="J1011" t="s">
        <v>22</v>
      </c>
      <c r="K1011" t="s">
        <v>12</v>
      </c>
    </row>
    <row r="1012" spans="1:11" x14ac:dyDescent="0.25">
      <c r="A1012" t="s">
        <v>875</v>
      </c>
      <c r="B1012" t="s">
        <v>97</v>
      </c>
      <c r="C1012" t="s">
        <v>876</v>
      </c>
      <c r="D1012">
        <v>621081475</v>
      </c>
      <c r="E1012" t="s">
        <v>18</v>
      </c>
      <c r="F1012" s="1">
        <v>45184</v>
      </c>
      <c r="G1012" t="s">
        <v>21</v>
      </c>
      <c r="H1012" s="2">
        <v>940.92</v>
      </c>
      <c r="I1012" t="s">
        <v>25</v>
      </c>
      <c r="J1012" t="s">
        <v>11</v>
      </c>
      <c r="K1012" t="s">
        <v>16</v>
      </c>
    </row>
    <row r="1013" spans="1:11" x14ac:dyDescent="0.25">
      <c r="A1013" t="s">
        <v>735</v>
      </c>
      <c r="B1013" t="s">
        <v>55</v>
      </c>
      <c r="C1013" t="s">
        <v>736</v>
      </c>
      <c r="D1013">
        <v>724968308</v>
      </c>
      <c r="E1013" t="s">
        <v>9</v>
      </c>
      <c r="F1013" s="1">
        <v>45207</v>
      </c>
      <c r="G1013" t="s">
        <v>415</v>
      </c>
      <c r="H1013" s="2">
        <v>1043.1400000000001</v>
      </c>
      <c r="I1013" t="s">
        <v>25</v>
      </c>
      <c r="J1013" t="s">
        <v>22</v>
      </c>
      <c r="K1013" t="s">
        <v>12</v>
      </c>
    </row>
    <row r="1014" spans="1:11" x14ac:dyDescent="0.25">
      <c r="A1014" t="s">
        <v>1042</v>
      </c>
      <c r="B1014" t="s">
        <v>1043</v>
      </c>
      <c r="C1014" t="s">
        <v>1044</v>
      </c>
      <c r="D1014">
        <v>917893213</v>
      </c>
      <c r="E1014" t="s">
        <v>18</v>
      </c>
      <c r="F1014" s="1">
        <v>45288</v>
      </c>
      <c r="G1014" t="s">
        <v>440</v>
      </c>
      <c r="H1014" s="2">
        <v>421.8</v>
      </c>
      <c r="I1014" t="s">
        <v>25</v>
      </c>
      <c r="J1014" t="s">
        <v>15</v>
      </c>
      <c r="K1014" t="s">
        <v>12</v>
      </c>
    </row>
    <row r="1015" spans="1:11" x14ac:dyDescent="0.25">
      <c r="A1015" t="s">
        <v>1383</v>
      </c>
      <c r="B1015" t="s">
        <v>226</v>
      </c>
      <c r="C1015" t="s">
        <v>1384</v>
      </c>
      <c r="D1015">
        <v>712172275</v>
      </c>
      <c r="E1015" t="s">
        <v>9</v>
      </c>
      <c r="F1015" s="1">
        <v>45547</v>
      </c>
      <c r="G1015" t="s">
        <v>415</v>
      </c>
      <c r="H1015" s="2">
        <v>1548.47</v>
      </c>
      <c r="I1015" t="s">
        <v>25</v>
      </c>
      <c r="J1015" t="s">
        <v>22</v>
      </c>
      <c r="K1015" t="s">
        <v>16</v>
      </c>
    </row>
    <row r="1016" spans="1:11" x14ac:dyDescent="0.25">
      <c r="A1016" t="s">
        <v>1385</v>
      </c>
      <c r="B1016" t="s">
        <v>30</v>
      </c>
      <c r="C1016" t="s">
        <v>1386</v>
      </c>
      <c r="D1016">
        <v>748373644</v>
      </c>
      <c r="E1016" t="s">
        <v>18</v>
      </c>
      <c r="F1016" s="1">
        <v>45207</v>
      </c>
      <c r="G1016" t="s">
        <v>478</v>
      </c>
      <c r="H1016" s="2">
        <v>1578.46</v>
      </c>
      <c r="I1016" t="s">
        <v>25</v>
      </c>
      <c r="J1016" t="s">
        <v>11</v>
      </c>
      <c r="K1016" t="s">
        <v>16</v>
      </c>
    </row>
    <row r="1017" spans="1:11" x14ac:dyDescent="0.25">
      <c r="A1017" t="s">
        <v>1004</v>
      </c>
      <c r="B1017" t="s">
        <v>348</v>
      </c>
      <c r="C1017" t="s">
        <v>1005</v>
      </c>
      <c r="D1017">
        <v>745520576</v>
      </c>
      <c r="E1017" t="s">
        <v>18</v>
      </c>
      <c r="F1017" s="1">
        <v>45268</v>
      </c>
      <c r="G1017" t="s">
        <v>415</v>
      </c>
      <c r="H1017" s="2">
        <v>1667.55</v>
      </c>
      <c r="I1017" t="s">
        <v>25</v>
      </c>
      <c r="J1017" t="s">
        <v>36</v>
      </c>
      <c r="K1017" t="s">
        <v>12</v>
      </c>
    </row>
    <row r="1018" spans="1:11" x14ac:dyDescent="0.25">
      <c r="A1018" t="s">
        <v>743</v>
      </c>
      <c r="B1018" t="s">
        <v>48</v>
      </c>
      <c r="C1018" t="s">
        <v>744</v>
      </c>
      <c r="D1018">
        <v>951388515</v>
      </c>
      <c r="E1018" t="s">
        <v>9</v>
      </c>
      <c r="F1018" s="1">
        <v>45805</v>
      </c>
      <c r="G1018" t="s">
        <v>451</v>
      </c>
      <c r="H1018" s="2">
        <v>1567.12</v>
      </c>
      <c r="I1018" t="s">
        <v>444</v>
      </c>
      <c r="J1018" t="s">
        <v>22</v>
      </c>
      <c r="K1018" t="s">
        <v>12</v>
      </c>
    </row>
    <row r="1019" spans="1:11" x14ac:dyDescent="0.25">
      <c r="A1019" t="s">
        <v>899</v>
      </c>
      <c r="B1019" t="s">
        <v>53</v>
      </c>
      <c r="C1019" t="s">
        <v>900</v>
      </c>
      <c r="D1019">
        <v>728737230</v>
      </c>
      <c r="E1019" t="s">
        <v>18</v>
      </c>
      <c r="F1019" s="1">
        <v>45193</v>
      </c>
      <c r="G1019" t="s">
        <v>32</v>
      </c>
      <c r="H1019" s="2">
        <v>700.31</v>
      </c>
      <c r="I1019" t="s">
        <v>25</v>
      </c>
      <c r="J1019" t="s">
        <v>33</v>
      </c>
      <c r="K1019" t="s">
        <v>12</v>
      </c>
    </row>
    <row r="1020" spans="1:11" x14ac:dyDescent="0.25">
      <c r="A1020" t="s">
        <v>586</v>
      </c>
      <c r="B1020" t="s">
        <v>587</v>
      </c>
      <c r="C1020" t="s">
        <v>588</v>
      </c>
      <c r="D1020">
        <v>954106570</v>
      </c>
      <c r="E1020" t="s">
        <v>9</v>
      </c>
      <c r="F1020" s="1">
        <v>45870</v>
      </c>
      <c r="G1020" t="s">
        <v>47</v>
      </c>
      <c r="H1020" s="2">
        <v>1916.05</v>
      </c>
      <c r="I1020" t="s">
        <v>25</v>
      </c>
      <c r="J1020" t="s">
        <v>11</v>
      </c>
      <c r="K1020" t="s">
        <v>16</v>
      </c>
    </row>
    <row r="1021" spans="1:11" x14ac:dyDescent="0.25">
      <c r="A1021" t="s">
        <v>1201</v>
      </c>
      <c r="B1021" t="s">
        <v>280</v>
      </c>
      <c r="C1021" t="s">
        <v>1202</v>
      </c>
      <c r="D1021">
        <v>639659594</v>
      </c>
      <c r="E1021" t="s">
        <v>9</v>
      </c>
      <c r="F1021" s="1">
        <v>45473</v>
      </c>
      <c r="G1021" t="s">
        <v>478</v>
      </c>
      <c r="H1021" s="2">
        <v>1478.84</v>
      </c>
      <c r="I1021" t="s">
        <v>25</v>
      </c>
      <c r="J1021" t="s">
        <v>36</v>
      </c>
      <c r="K1021" t="s">
        <v>12</v>
      </c>
    </row>
    <row r="1022" spans="1:11" x14ac:dyDescent="0.25">
      <c r="A1022" t="s">
        <v>1090</v>
      </c>
      <c r="B1022" t="s">
        <v>375</v>
      </c>
      <c r="C1022" t="s">
        <v>1091</v>
      </c>
      <c r="D1022">
        <v>715519555</v>
      </c>
      <c r="E1022" t="s">
        <v>18</v>
      </c>
      <c r="F1022" s="1">
        <v>45823</v>
      </c>
      <c r="G1022" t="s">
        <v>35</v>
      </c>
      <c r="H1022" s="2">
        <v>390.57</v>
      </c>
      <c r="I1022" t="s">
        <v>507</v>
      </c>
      <c r="J1022" t="s">
        <v>26</v>
      </c>
      <c r="K1022" t="s">
        <v>12</v>
      </c>
    </row>
    <row r="1023" spans="1:11" x14ac:dyDescent="0.25">
      <c r="A1023" t="s">
        <v>1112</v>
      </c>
      <c r="B1023" t="s">
        <v>1113</v>
      </c>
      <c r="C1023" t="s">
        <v>1114</v>
      </c>
      <c r="D1023">
        <v>636255184</v>
      </c>
      <c r="E1023" t="s">
        <v>9</v>
      </c>
      <c r="F1023" s="1">
        <v>45680</v>
      </c>
      <c r="G1023" t="s">
        <v>415</v>
      </c>
      <c r="H1023" s="2">
        <v>1800.71</v>
      </c>
      <c r="I1023" t="s">
        <v>507</v>
      </c>
      <c r="J1023" t="s">
        <v>33</v>
      </c>
      <c r="K1023" t="s">
        <v>12</v>
      </c>
    </row>
    <row r="1024" spans="1:11" x14ac:dyDescent="0.25">
      <c r="A1024" t="s">
        <v>631</v>
      </c>
      <c r="B1024" t="s">
        <v>54</v>
      </c>
      <c r="C1024" t="s">
        <v>632</v>
      </c>
      <c r="D1024">
        <v>717372411</v>
      </c>
      <c r="E1024" t="s">
        <v>9</v>
      </c>
      <c r="F1024" s="1">
        <v>45227</v>
      </c>
      <c r="G1024" t="s">
        <v>14</v>
      </c>
      <c r="H1024" s="2">
        <v>1606.99</v>
      </c>
      <c r="I1024" t="s">
        <v>25</v>
      </c>
      <c r="J1024" t="s">
        <v>33</v>
      </c>
      <c r="K1024" t="s">
        <v>16</v>
      </c>
    </row>
    <row r="1025" spans="1:11" x14ac:dyDescent="0.25">
      <c r="A1025" t="s">
        <v>597</v>
      </c>
      <c r="B1025" t="s">
        <v>171</v>
      </c>
      <c r="C1025" t="s">
        <v>598</v>
      </c>
      <c r="D1025">
        <v>733027275</v>
      </c>
      <c r="E1025" t="s">
        <v>18</v>
      </c>
      <c r="F1025" s="1">
        <v>45536</v>
      </c>
      <c r="G1025" t="s">
        <v>19</v>
      </c>
      <c r="H1025" s="2">
        <v>807.42</v>
      </c>
      <c r="I1025" t="s">
        <v>25</v>
      </c>
      <c r="J1025" t="s">
        <v>11</v>
      </c>
      <c r="K1025" t="s">
        <v>12</v>
      </c>
    </row>
    <row r="1026" spans="1:11" x14ac:dyDescent="0.25">
      <c r="A1026" t="s">
        <v>958</v>
      </c>
      <c r="B1026" t="s">
        <v>61</v>
      </c>
      <c r="C1026" t="s">
        <v>959</v>
      </c>
      <c r="D1026">
        <v>725944347</v>
      </c>
      <c r="E1026" t="s">
        <v>18</v>
      </c>
      <c r="F1026" s="1">
        <v>45438</v>
      </c>
      <c r="G1026" t="s">
        <v>423</v>
      </c>
      <c r="H1026" s="2">
        <v>1367.02</v>
      </c>
      <c r="I1026" t="s">
        <v>25</v>
      </c>
      <c r="J1026" t="s">
        <v>11</v>
      </c>
      <c r="K1026" t="s">
        <v>16</v>
      </c>
    </row>
    <row r="1027" spans="1:11" x14ac:dyDescent="0.25">
      <c r="A1027" t="s">
        <v>1387</v>
      </c>
      <c r="B1027" t="s">
        <v>259</v>
      </c>
      <c r="C1027" t="s">
        <v>1388</v>
      </c>
      <c r="D1027">
        <v>697866583</v>
      </c>
      <c r="E1027" t="s">
        <v>9</v>
      </c>
      <c r="F1027" s="1">
        <v>45905</v>
      </c>
      <c r="G1027" t="s">
        <v>14</v>
      </c>
      <c r="H1027" s="2">
        <v>1528.5</v>
      </c>
      <c r="I1027" t="s">
        <v>25</v>
      </c>
      <c r="J1027" t="s">
        <v>22</v>
      </c>
      <c r="K1027" t="s">
        <v>12</v>
      </c>
    </row>
    <row r="1028" spans="1:11" x14ac:dyDescent="0.25">
      <c r="A1028" t="s">
        <v>1389</v>
      </c>
      <c r="B1028" t="s">
        <v>272</v>
      </c>
      <c r="C1028" t="s">
        <v>1390</v>
      </c>
      <c r="D1028">
        <v>711020139</v>
      </c>
      <c r="E1028" t="s">
        <v>18</v>
      </c>
      <c r="F1028" s="1">
        <v>45645</v>
      </c>
      <c r="G1028" t="s">
        <v>460</v>
      </c>
      <c r="H1028" s="2">
        <v>1657.4</v>
      </c>
      <c r="I1028" t="s">
        <v>25</v>
      </c>
      <c r="J1028" t="s">
        <v>11</v>
      </c>
      <c r="K1028" t="s">
        <v>12</v>
      </c>
    </row>
    <row r="1029" spans="1:11" x14ac:dyDescent="0.25">
      <c r="A1029" t="s">
        <v>421</v>
      </c>
      <c r="B1029" t="s">
        <v>336</v>
      </c>
      <c r="C1029" t="s">
        <v>422</v>
      </c>
      <c r="D1029">
        <v>722114878</v>
      </c>
      <c r="E1029" t="s">
        <v>9</v>
      </c>
      <c r="F1029" s="1">
        <v>45533</v>
      </c>
      <c r="G1029" t="s">
        <v>423</v>
      </c>
      <c r="H1029" s="2">
        <v>1241.0999999999999</v>
      </c>
      <c r="I1029" t="s">
        <v>25</v>
      </c>
      <c r="J1029" t="s">
        <v>33</v>
      </c>
      <c r="K1029" t="s">
        <v>12</v>
      </c>
    </row>
    <row r="1030" spans="1:11" x14ac:dyDescent="0.25">
      <c r="A1030" t="s">
        <v>909</v>
      </c>
      <c r="B1030" t="s">
        <v>284</v>
      </c>
      <c r="C1030" t="s">
        <v>910</v>
      </c>
      <c r="D1030">
        <v>707714744</v>
      </c>
      <c r="E1030" t="s">
        <v>13</v>
      </c>
      <c r="F1030" s="1">
        <v>45569</v>
      </c>
      <c r="G1030" t="s">
        <v>451</v>
      </c>
      <c r="H1030" s="2">
        <v>1245.21</v>
      </c>
      <c r="I1030" t="s">
        <v>25</v>
      </c>
      <c r="J1030" t="s">
        <v>11</v>
      </c>
      <c r="K1030" t="s">
        <v>12</v>
      </c>
    </row>
    <row r="1031" spans="1:11" x14ac:dyDescent="0.25">
      <c r="A1031" t="s">
        <v>1391</v>
      </c>
      <c r="B1031" t="s">
        <v>1392</v>
      </c>
      <c r="C1031" t="s">
        <v>1393</v>
      </c>
      <c r="D1031">
        <v>745949966</v>
      </c>
      <c r="E1031" t="s">
        <v>13</v>
      </c>
      <c r="F1031" s="1">
        <v>45701</v>
      </c>
      <c r="G1031" t="s">
        <v>21</v>
      </c>
      <c r="H1031" s="2">
        <v>775.66</v>
      </c>
      <c r="I1031" t="s">
        <v>507</v>
      </c>
      <c r="J1031" t="s">
        <v>22</v>
      </c>
      <c r="K1031" t="s">
        <v>16</v>
      </c>
    </row>
    <row r="1032" spans="1:11" x14ac:dyDescent="0.25">
      <c r="A1032" t="s">
        <v>1014</v>
      </c>
      <c r="B1032" t="s">
        <v>120</v>
      </c>
      <c r="C1032" t="s">
        <v>1015</v>
      </c>
      <c r="D1032">
        <v>701325298</v>
      </c>
      <c r="E1032" t="s">
        <v>9</v>
      </c>
      <c r="F1032" s="1">
        <v>45862</v>
      </c>
      <c r="G1032" t="s">
        <v>440</v>
      </c>
      <c r="H1032" s="2">
        <v>1897.39</v>
      </c>
      <c r="I1032" t="s">
        <v>25</v>
      </c>
      <c r="J1032" t="s">
        <v>11</v>
      </c>
      <c r="K1032" t="s">
        <v>16</v>
      </c>
    </row>
    <row r="1033" spans="1:11" x14ac:dyDescent="0.25">
      <c r="A1033" t="s">
        <v>982</v>
      </c>
      <c r="B1033" t="s">
        <v>232</v>
      </c>
      <c r="C1033" t="s">
        <v>983</v>
      </c>
      <c r="D1033">
        <v>703991673</v>
      </c>
      <c r="E1033" t="s">
        <v>18</v>
      </c>
      <c r="F1033" s="1">
        <v>45593</v>
      </c>
      <c r="G1033" t="s">
        <v>506</v>
      </c>
      <c r="H1033" s="2">
        <v>1151.5999999999999</v>
      </c>
      <c r="I1033" t="s">
        <v>25</v>
      </c>
      <c r="J1033" t="s">
        <v>36</v>
      </c>
      <c r="K1033" t="s">
        <v>16</v>
      </c>
    </row>
    <row r="1034" spans="1:11" x14ac:dyDescent="0.25">
      <c r="A1034" t="s">
        <v>752</v>
      </c>
      <c r="B1034" t="s">
        <v>340</v>
      </c>
      <c r="C1034" t="s">
        <v>753</v>
      </c>
      <c r="D1034">
        <v>723183453</v>
      </c>
      <c r="E1034" t="s">
        <v>13</v>
      </c>
      <c r="F1034" s="1">
        <v>45903</v>
      </c>
      <c r="G1034" t="s">
        <v>460</v>
      </c>
      <c r="H1034" s="2">
        <v>1585.3</v>
      </c>
      <c r="I1034" t="s">
        <v>25</v>
      </c>
      <c r="J1034" t="s">
        <v>22</v>
      </c>
      <c r="K1034" t="s">
        <v>12</v>
      </c>
    </row>
    <row r="1035" spans="1:11" x14ac:dyDescent="0.25">
      <c r="A1035" t="s">
        <v>723</v>
      </c>
      <c r="B1035" t="s">
        <v>63</v>
      </c>
      <c r="C1035" t="s">
        <v>724</v>
      </c>
      <c r="D1035">
        <v>819517980</v>
      </c>
      <c r="E1035" t="s">
        <v>13</v>
      </c>
      <c r="F1035" s="1">
        <v>45899</v>
      </c>
      <c r="G1035" t="s">
        <v>423</v>
      </c>
      <c r="H1035" s="2">
        <v>1170.0899999999999</v>
      </c>
      <c r="I1035" t="s">
        <v>25</v>
      </c>
      <c r="J1035" t="s">
        <v>22</v>
      </c>
      <c r="K1035" t="s">
        <v>12</v>
      </c>
    </row>
    <row r="1036" spans="1:11" x14ac:dyDescent="0.25">
      <c r="A1036" t="s">
        <v>1394</v>
      </c>
      <c r="B1036" t="s">
        <v>112</v>
      </c>
      <c r="C1036" t="s">
        <v>1395</v>
      </c>
      <c r="D1036">
        <v>812915735</v>
      </c>
      <c r="E1036" t="s">
        <v>9</v>
      </c>
      <c r="F1036" s="1">
        <v>45631</v>
      </c>
      <c r="G1036" t="s">
        <v>423</v>
      </c>
      <c r="H1036" s="2">
        <v>1130.46</v>
      </c>
      <c r="I1036" t="s">
        <v>25</v>
      </c>
      <c r="J1036" t="s">
        <v>33</v>
      </c>
      <c r="K1036" t="s">
        <v>16</v>
      </c>
    </row>
    <row r="1037" spans="1:11" x14ac:dyDescent="0.25">
      <c r="A1037" t="s">
        <v>1396</v>
      </c>
      <c r="B1037" t="s">
        <v>376</v>
      </c>
      <c r="C1037" t="s">
        <v>1397</v>
      </c>
      <c r="D1037">
        <v>748753252</v>
      </c>
      <c r="E1037" t="s">
        <v>9</v>
      </c>
      <c r="F1037" s="1">
        <v>45524</v>
      </c>
      <c r="G1037" t="s">
        <v>443</v>
      </c>
      <c r="H1037" s="2">
        <v>1196.8399999999999</v>
      </c>
      <c r="I1037" t="s">
        <v>25</v>
      </c>
      <c r="J1037" t="s">
        <v>22</v>
      </c>
      <c r="K1037" t="s">
        <v>16</v>
      </c>
    </row>
    <row r="1038" spans="1:11" x14ac:dyDescent="0.25">
      <c r="A1038" t="s">
        <v>1331</v>
      </c>
      <c r="B1038" t="s">
        <v>1332</v>
      </c>
      <c r="C1038" t="s">
        <v>1333</v>
      </c>
      <c r="D1038">
        <v>713494387</v>
      </c>
      <c r="E1038" t="s">
        <v>9</v>
      </c>
      <c r="F1038" s="1">
        <v>45836</v>
      </c>
      <c r="G1038" t="s">
        <v>415</v>
      </c>
      <c r="H1038" s="2">
        <v>1748.18</v>
      </c>
      <c r="I1038" t="s">
        <v>25</v>
      </c>
      <c r="J1038" t="s">
        <v>11</v>
      </c>
      <c r="K1038" t="s">
        <v>16</v>
      </c>
    </row>
    <row r="1039" spans="1:11" x14ac:dyDescent="0.25">
      <c r="A1039" t="s">
        <v>794</v>
      </c>
      <c r="B1039" t="s">
        <v>371</v>
      </c>
      <c r="C1039" t="s">
        <v>795</v>
      </c>
      <c r="D1039">
        <v>632927895</v>
      </c>
      <c r="E1039" t="s">
        <v>9</v>
      </c>
      <c r="F1039" s="1">
        <v>45769</v>
      </c>
      <c r="G1039" t="s">
        <v>39</v>
      </c>
      <c r="H1039" s="2">
        <v>1378.79</v>
      </c>
      <c r="I1039" t="s">
        <v>25</v>
      </c>
      <c r="J1039" t="s">
        <v>11</v>
      </c>
      <c r="K1039" t="s">
        <v>16</v>
      </c>
    </row>
    <row r="1040" spans="1:11" x14ac:dyDescent="0.25">
      <c r="A1040" t="s">
        <v>926</v>
      </c>
      <c r="B1040" t="s">
        <v>178</v>
      </c>
      <c r="C1040" t="s">
        <v>927</v>
      </c>
      <c r="D1040">
        <v>708355930</v>
      </c>
      <c r="E1040" t="s">
        <v>9</v>
      </c>
      <c r="F1040" s="1">
        <v>45209</v>
      </c>
      <c r="G1040" t="s">
        <v>24</v>
      </c>
      <c r="H1040" s="2">
        <v>1911.48</v>
      </c>
      <c r="I1040" t="s">
        <v>25</v>
      </c>
      <c r="J1040" t="s">
        <v>11</v>
      </c>
      <c r="K1040" t="s">
        <v>12</v>
      </c>
    </row>
    <row r="1041" spans="1:11" x14ac:dyDescent="0.25">
      <c r="A1041" t="s">
        <v>582</v>
      </c>
      <c r="B1041" t="s">
        <v>347</v>
      </c>
      <c r="C1041" t="s">
        <v>583</v>
      </c>
      <c r="D1041">
        <v>937606933</v>
      </c>
      <c r="E1041" t="s">
        <v>9</v>
      </c>
      <c r="F1041" s="1">
        <v>45284</v>
      </c>
      <c r="G1041" t="s">
        <v>443</v>
      </c>
      <c r="H1041" s="2">
        <v>776.93</v>
      </c>
      <c r="I1041" t="s">
        <v>444</v>
      </c>
      <c r="J1041" t="s">
        <v>33</v>
      </c>
      <c r="K1041" t="s">
        <v>16</v>
      </c>
    </row>
    <row r="1042" spans="1:11" x14ac:dyDescent="0.25">
      <c r="A1042" t="s">
        <v>1398</v>
      </c>
      <c r="B1042" t="s">
        <v>750</v>
      </c>
      <c r="C1042" t="s">
        <v>1399</v>
      </c>
      <c r="D1042">
        <v>986129822</v>
      </c>
      <c r="E1042" t="s">
        <v>9</v>
      </c>
      <c r="F1042" s="1">
        <v>45794</v>
      </c>
      <c r="G1042" t="s">
        <v>475</v>
      </c>
      <c r="H1042" s="2">
        <v>1745.82</v>
      </c>
      <c r="I1042" t="s">
        <v>25</v>
      </c>
      <c r="J1042" t="s">
        <v>22</v>
      </c>
      <c r="K1042" t="s">
        <v>12</v>
      </c>
    </row>
    <row r="1043" spans="1:11" x14ac:dyDescent="0.25">
      <c r="A1043" t="s">
        <v>1096</v>
      </c>
      <c r="B1043" t="s">
        <v>112</v>
      </c>
      <c r="C1043" t="s">
        <v>1097</v>
      </c>
      <c r="D1043">
        <v>733329234</v>
      </c>
      <c r="E1043" t="s">
        <v>18</v>
      </c>
      <c r="F1043" s="1">
        <v>45195</v>
      </c>
      <c r="G1043" t="s">
        <v>478</v>
      </c>
      <c r="H1043" s="2">
        <v>725.19</v>
      </c>
      <c r="I1043" t="s">
        <v>507</v>
      </c>
      <c r="J1043" t="s">
        <v>11</v>
      </c>
      <c r="K1043" t="s">
        <v>12</v>
      </c>
    </row>
    <row r="1044" spans="1:11" x14ac:dyDescent="0.25">
      <c r="A1044" t="s">
        <v>500</v>
      </c>
      <c r="B1044" t="s">
        <v>158</v>
      </c>
      <c r="C1044" t="s">
        <v>501</v>
      </c>
      <c r="D1044">
        <v>700258650</v>
      </c>
      <c r="E1044" t="s">
        <v>9</v>
      </c>
      <c r="F1044" s="1">
        <v>45664</v>
      </c>
      <c r="G1044" t="s">
        <v>412</v>
      </c>
      <c r="H1044" s="2">
        <v>450.5</v>
      </c>
      <c r="I1044" t="s">
        <v>25</v>
      </c>
      <c r="J1044" t="s">
        <v>11</v>
      </c>
      <c r="K1044" t="s">
        <v>16</v>
      </c>
    </row>
    <row r="1045" spans="1:11" x14ac:dyDescent="0.25">
      <c r="A1045" t="s">
        <v>833</v>
      </c>
      <c r="B1045" t="s">
        <v>314</v>
      </c>
      <c r="C1045" t="s">
        <v>834</v>
      </c>
      <c r="D1045">
        <v>710390333</v>
      </c>
      <c r="E1045" t="s">
        <v>18</v>
      </c>
      <c r="F1045" s="1">
        <v>45255</v>
      </c>
      <c r="G1045" t="s">
        <v>10</v>
      </c>
      <c r="H1045" s="2">
        <v>1661.29</v>
      </c>
      <c r="I1045" t="s">
        <v>25</v>
      </c>
      <c r="J1045" t="s">
        <v>11</v>
      </c>
      <c r="K1045" t="s">
        <v>16</v>
      </c>
    </row>
    <row r="1046" spans="1:11" x14ac:dyDescent="0.25">
      <c r="A1046" t="s">
        <v>1387</v>
      </c>
      <c r="B1046" t="s">
        <v>259</v>
      </c>
      <c r="C1046" t="s">
        <v>1388</v>
      </c>
      <c r="D1046">
        <v>697866583</v>
      </c>
      <c r="E1046" t="s">
        <v>9</v>
      </c>
      <c r="F1046" s="1">
        <v>45337</v>
      </c>
      <c r="G1046" t="s">
        <v>14</v>
      </c>
      <c r="H1046" s="2">
        <v>272.22000000000003</v>
      </c>
      <c r="I1046" t="s">
        <v>25</v>
      </c>
      <c r="J1046" t="s">
        <v>11</v>
      </c>
      <c r="K1046" t="s">
        <v>16</v>
      </c>
    </row>
    <row r="1047" spans="1:11" x14ac:dyDescent="0.25">
      <c r="A1047" t="s">
        <v>988</v>
      </c>
      <c r="B1047" t="s">
        <v>131</v>
      </c>
      <c r="C1047" t="s">
        <v>989</v>
      </c>
      <c r="D1047">
        <v>975321341</v>
      </c>
      <c r="E1047" t="s">
        <v>9</v>
      </c>
      <c r="F1047" s="1">
        <v>45212</v>
      </c>
      <c r="G1047" t="s">
        <v>451</v>
      </c>
      <c r="H1047" s="2">
        <v>40.18</v>
      </c>
      <c r="I1047" t="s">
        <v>25</v>
      </c>
      <c r="J1047" t="s">
        <v>11</v>
      </c>
      <c r="K1047" t="s">
        <v>16</v>
      </c>
    </row>
    <row r="1048" spans="1:11" x14ac:dyDescent="0.25">
      <c r="A1048" t="s">
        <v>949</v>
      </c>
      <c r="B1048" t="s">
        <v>182</v>
      </c>
      <c r="C1048" t="s">
        <v>950</v>
      </c>
      <c r="D1048">
        <v>741931466</v>
      </c>
      <c r="E1048" t="s">
        <v>18</v>
      </c>
      <c r="F1048" s="1">
        <v>45848</v>
      </c>
      <c r="G1048" t="s">
        <v>440</v>
      </c>
      <c r="H1048" s="2">
        <v>1209.19</v>
      </c>
      <c r="I1048" t="s">
        <v>25</v>
      </c>
      <c r="J1048" t="s">
        <v>11</v>
      </c>
      <c r="K1048" t="s">
        <v>16</v>
      </c>
    </row>
    <row r="1049" spans="1:11" x14ac:dyDescent="0.25">
      <c r="A1049" t="s">
        <v>693</v>
      </c>
      <c r="B1049" t="s">
        <v>239</v>
      </c>
      <c r="C1049" t="s">
        <v>694</v>
      </c>
      <c r="D1049">
        <v>941385528</v>
      </c>
      <c r="E1049" t="s">
        <v>13</v>
      </c>
      <c r="F1049" s="1">
        <v>45849</v>
      </c>
      <c r="G1049" t="s">
        <v>19</v>
      </c>
      <c r="H1049" s="2">
        <v>1962.37</v>
      </c>
      <c r="I1049" t="s">
        <v>25</v>
      </c>
      <c r="J1049" t="s">
        <v>26</v>
      </c>
      <c r="K1049" t="s">
        <v>12</v>
      </c>
    </row>
    <row r="1050" spans="1:11" x14ac:dyDescent="0.25">
      <c r="A1050" t="s">
        <v>924</v>
      </c>
      <c r="B1050" t="s">
        <v>346</v>
      </c>
      <c r="C1050" t="s">
        <v>925</v>
      </c>
      <c r="D1050">
        <v>718475072</v>
      </c>
      <c r="E1050" t="s">
        <v>18</v>
      </c>
      <c r="F1050" s="1">
        <v>45186</v>
      </c>
      <c r="G1050" t="s">
        <v>451</v>
      </c>
      <c r="H1050" s="2">
        <v>1787.57</v>
      </c>
      <c r="I1050" t="s">
        <v>25</v>
      </c>
      <c r="J1050" t="s">
        <v>22</v>
      </c>
      <c r="K1050" t="s">
        <v>16</v>
      </c>
    </row>
    <row r="1051" spans="1:11" x14ac:dyDescent="0.25">
      <c r="A1051" t="s">
        <v>962</v>
      </c>
      <c r="B1051" t="s">
        <v>330</v>
      </c>
      <c r="C1051" t="s">
        <v>963</v>
      </c>
      <c r="D1051">
        <v>706401025</v>
      </c>
      <c r="E1051" t="s">
        <v>9</v>
      </c>
      <c r="F1051" s="1">
        <v>45290</v>
      </c>
      <c r="G1051" t="s">
        <v>423</v>
      </c>
      <c r="H1051" s="2">
        <v>43.48</v>
      </c>
      <c r="I1051" t="s">
        <v>25</v>
      </c>
      <c r="J1051" t="s">
        <v>33</v>
      </c>
      <c r="K1051" t="s">
        <v>16</v>
      </c>
    </row>
    <row r="1052" spans="1:11" x14ac:dyDescent="0.25">
      <c r="A1052" t="s">
        <v>1282</v>
      </c>
      <c r="B1052" t="s">
        <v>118</v>
      </c>
      <c r="C1052" t="s">
        <v>1283</v>
      </c>
      <c r="D1052">
        <v>895649355</v>
      </c>
      <c r="E1052" t="s">
        <v>18</v>
      </c>
      <c r="F1052" s="1">
        <v>45206</v>
      </c>
      <c r="G1052" t="s">
        <v>440</v>
      </c>
      <c r="H1052" s="2">
        <v>37.15</v>
      </c>
      <c r="I1052" t="s">
        <v>25</v>
      </c>
      <c r="J1052" t="s">
        <v>26</v>
      </c>
      <c r="K1052" t="s">
        <v>16</v>
      </c>
    </row>
    <row r="1053" spans="1:11" x14ac:dyDescent="0.25">
      <c r="A1053" t="s">
        <v>1028</v>
      </c>
      <c r="B1053" t="s">
        <v>356</v>
      </c>
      <c r="C1053" t="s">
        <v>1029</v>
      </c>
      <c r="D1053">
        <v>699894729</v>
      </c>
      <c r="E1053" t="s">
        <v>9</v>
      </c>
      <c r="F1053" s="1">
        <v>45688</v>
      </c>
      <c r="G1053" t="s">
        <v>603</v>
      </c>
      <c r="H1053" s="2">
        <v>315.62</v>
      </c>
      <c r="I1053" t="s">
        <v>444</v>
      </c>
      <c r="J1053" t="s">
        <v>22</v>
      </c>
      <c r="K1053" t="s">
        <v>16</v>
      </c>
    </row>
    <row r="1054" spans="1:11" x14ac:dyDescent="0.25">
      <c r="A1054" t="s">
        <v>752</v>
      </c>
      <c r="B1054" t="s">
        <v>340</v>
      </c>
      <c r="C1054" t="s">
        <v>753</v>
      </c>
      <c r="D1054">
        <v>723183453</v>
      </c>
      <c r="E1054" t="s">
        <v>13</v>
      </c>
      <c r="F1054" s="1">
        <v>45441</v>
      </c>
      <c r="G1054" t="s">
        <v>460</v>
      </c>
      <c r="H1054" s="2">
        <v>776.64</v>
      </c>
      <c r="I1054" t="s">
        <v>25</v>
      </c>
      <c r="J1054" t="s">
        <v>33</v>
      </c>
      <c r="K1054" t="s">
        <v>16</v>
      </c>
    </row>
    <row r="1055" spans="1:11" x14ac:dyDescent="0.25">
      <c r="A1055" t="s">
        <v>1400</v>
      </c>
      <c r="B1055" t="s">
        <v>65</v>
      </c>
      <c r="C1055" t="s">
        <v>1401</v>
      </c>
      <c r="D1055">
        <v>739254068</v>
      </c>
      <c r="E1055" t="s">
        <v>18</v>
      </c>
      <c r="F1055" s="1">
        <v>45187</v>
      </c>
      <c r="G1055" t="s">
        <v>440</v>
      </c>
      <c r="H1055" s="2">
        <v>1720.92</v>
      </c>
      <c r="I1055" t="s">
        <v>25</v>
      </c>
      <c r="J1055" t="s">
        <v>36</v>
      </c>
      <c r="K1055" t="s">
        <v>16</v>
      </c>
    </row>
    <row r="1056" spans="1:11" x14ac:dyDescent="0.25">
      <c r="A1056" t="s">
        <v>1402</v>
      </c>
      <c r="B1056" t="s">
        <v>145</v>
      </c>
      <c r="C1056" t="s">
        <v>1403</v>
      </c>
      <c r="D1056">
        <v>736243040</v>
      </c>
      <c r="E1056" t="s">
        <v>9</v>
      </c>
      <c r="F1056" s="1">
        <v>45774</v>
      </c>
      <c r="G1056" t="s">
        <v>24</v>
      </c>
      <c r="H1056" s="2">
        <v>1362.94</v>
      </c>
      <c r="I1056" t="s">
        <v>507</v>
      </c>
      <c r="J1056" t="s">
        <v>22</v>
      </c>
      <c r="K1056" t="s">
        <v>12</v>
      </c>
    </row>
    <row r="1057" spans="1:11" x14ac:dyDescent="0.25">
      <c r="A1057" t="s">
        <v>629</v>
      </c>
      <c r="B1057" t="s">
        <v>62</v>
      </c>
      <c r="C1057" t="s">
        <v>630</v>
      </c>
      <c r="D1057">
        <v>649943369</v>
      </c>
      <c r="E1057" t="s">
        <v>18</v>
      </c>
      <c r="F1057" s="1">
        <v>45800</v>
      </c>
      <c r="G1057" t="s">
        <v>21</v>
      </c>
      <c r="H1057" s="2">
        <v>1145.52</v>
      </c>
      <c r="I1057" t="s">
        <v>444</v>
      </c>
      <c r="J1057" t="s">
        <v>11</v>
      </c>
      <c r="K1057" t="s">
        <v>16</v>
      </c>
    </row>
    <row r="1058" spans="1:11" x14ac:dyDescent="0.25">
      <c r="A1058" t="s">
        <v>651</v>
      </c>
      <c r="B1058" t="s">
        <v>134</v>
      </c>
      <c r="C1058" t="s">
        <v>652</v>
      </c>
      <c r="D1058">
        <v>721752316</v>
      </c>
      <c r="E1058" t="s">
        <v>18</v>
      </c>
      <c r="F1058" s="1">
        <v>45428</v>
      </c>
      <c r="G1058" t="s">
        <v>19</v>
      </c>
      <c r="H1058" s="2">
        <v>1938.23</v>
      </c>
      <c r="I1058" t="s">
        <v>25</v>
      </c>
      <c r="J1058" t="s">
        <v>26</v>
      </c>
      <c r="K1058" t="s">
        <v>16</v>
      </c>
    </row>
    <row r="1059" spans="1:11" x14ac:dyDescent="0.25">
      <c r="A1059" t="s">
        <v>1404</v>
      </c>
      <c r="B1059" t="s">
        <v>388</v>
      </c>
      <c r="C1059" t="s">
        <v>1405</v>
      </c>
      <c r="D1059">
        <v>996524673</v>
      </c>
      <c r="E1059" t="s">
        <v>9</v>
      </c>
      <c r="F1059" s="1">
        <v>45577</v>
      </c>
      <c r="G1059" t="s">
        <v>35</v>
      </c>
      <c r="H1059" s="2">
        <v>693.16</v>
      </c>
      <c r="I1059" t="s">
        <v>25</v>
      </c>
      <c r="J1059" t="s">
        <v>11</v>
      </c>
      <c r="K1059" t="s">
        <v>16</v>
      </c>
    </row>
    <row r="1060" spans="1:11" x14ac:dyDescent="0.25">
      <c r="A1060" t="s">
        <v>428</v>
      </c>
      <c r="B1060" t="s">
        <v>64</v>
      </c>
      <c r="C1060" t="s">
        <v>429</v>
      </c>
      <c r="D1060">
        <v>681249637</v>
      </c>
      <c r="E1060" t="s">
        <v>13</v>
      </c>
      <c r="F1060" s="1">
        <v>45784</v>
      </c>
      <c r="G1060" t="s">
        <v>418</v>
      </c>
      <c r="H1060" s="2">
        <v>386.18</v>
      </c>
      <c r="I1060" t="s">
        <v>25</v>
      </c>
      <c r="J1060" t="s">
        <v>22</v>
      </c>
      <c r="K1060" t="s">
        <v>16</v>
      </c>
    </row>
    <row r="1061" spans="1:11" x14ac:dyDescent="0.25">
      <c r="A1061" t="s">
        <v>715</v>
      </c>
      <c r="B1061" t="s">
        <v>202</v>
      </c>
      <c r="C1061" t="s">
        <v>716</v>
      </c>
      <c r="D1061">
        <v>652976786</v>
      </c>
      <c r="E1061" t="s">
        <v>18</v>
      </c>
      <c r="F1061" s="1">
        <v>45544</v>
      </c>
      <c r="G1061" t="s">
        <v>443</v>
      </c>
      <c r="H1061" s="2">
        <v>797.05</v>
      </c>
      <c r="I1061" t="s">
        <v>25</v>
      </c>
      <c r="J1061" t="s">
        <v>11</v>
      </c>
      <c r="K1061" t="s">
        <v>16</v>
      </c>
    </row>
    <row r="1062" spans="1:11" x14ac:dyDescent="0.25">
      <c r="A1062" t="s">
        <v>662</v>
      </c>
      <c r="B1062" t="s">
        <v>241</v>
      </c>
      <c r="C1062" t="s">
        <v>663</v>
      </c>
      <c r="D1062">
        <v>717637012</v>
      </c>
      <c r="E1062" t="s">
        <v>18</v>
      </c>
      <c r="F1062" s="1">
        <v>45874</v>
      </c>
      <c r="G1062" t="s">
        <v>29</v>
      </c>
      <c r="H1062" s="2">
        <v>888.5</v>
      </c>
      <c r="I1062" t="s">
        <v>25</v>
      </c>
      <c r="J1062" t="s">
        <v>11</v>
      </c>
      <c r="K1062" t="s">
        <v>16</v>
      </c>
    </row>
    <row r="1063" spans="1:11" x14ac:dyDescent="0.25">
      <c r="A1063" t="s">
        <v>637</v>
      </c>
      <c r="B1063" t="s">
        <v>176</v>
      </c>
      <c r="C1063" t="s">
        <v>638</v>
      </c>
      <c r="D1063">
        <v>721361791</v>
      </c>
      <c r="E1063" t="s">
        <v>9</v>
      </c>
      <c r="F1063" s="1">
        <v>45189</v>
      </c>
      <c r="G1063" t="s">
        <v>440</v>
      </c>
      <c r="H1063" s="2">
        <v>1683.31</v>
      </c>
      <c r="I1063" t="s">
        <v>25</v>
      </c>
      <c r="J1063" t="s">
        <v>11</v>
      </c>
      <c r="K1063" t="s">
        <v>12</v>
      </c>
    </row>
    <row r="1064" spans="1:11" x14ac:dyDescent="0.25">
      <c r="A1064" t="s">
        <v>1004</v>
      </c>
      <c r="B1064" t="s">
        <v>348</v>
      </c>
      <c r="C1064" t="s">
        <v>1005</v>
      </c>
      <c r="D1064">
        <v>745520576</v>
      </c>
      <c r="E1064" t="s">
        <v>18</v>
      </c>
      <c r="F1064" s="1">
        <v>45196</v>
      </c>
      <c r="G1064" t="s">
        <v>415</v>
      </c>
      <c r="H1064" s="2">
        <v>1762.29</v>
      </c>
      <c r="I1064" t="s">
        <v>444</v>
      </c>
      <c r="J1064" t="s">
        <v>33</v>
      </c>
      <c r="K1064" t="s">
        <v>12</v>
      </c>
    </row>
    <row r="1065" spans="1:11" x14ac:dyDescent="0.25">
      <c r="A1065" t="s">
        <v>1346</v>
      </c>
      <c r="B1065" t="s">
        <v>1347</v>
      </c>
      <c r="C1065" t="s">
        <v>1348</v>
      </c>
      <c r="D1065">
        <v>651807606</v>
      </c>
      <c r="E1065" t="s">
        <v>18</v>
      </c>
      <c r="F1065" s="1">
        <v>45582</v>
      </c>
      <c r="G1065" t="s">
        <v>47</v>
      </c>
      <c r="H1065" s="2">
        <v>1109.6500000000001</v>
      </c>
      <c r="I1065" t="s">
        <v>25</v>
      </c>
      <c r="J1065" t="s">
        <v>11</v>
      </c>
      <c r="K1065" t="s">
        <v>16</v>
      </c>
    </row>
    <row r="1066" spans="1:11" x14ac:dyDescent="0.25">
      <c r="A1066" t="s">
        <v>1406</v>
      </c>
      <c r="B1066" t="s">
        <v>375</v>
      </c>
      <c r="C1066" t="s">
        <v>1407</v>
      </c>
      <c r="D1066">
        <v>980854122</v>
      </c>
      <c r="E1066" t="s">
        <v>9</v>
      </c>
      <c r="F1066" s="1">
        <v>45295</v>
      </c>
      <c r="G1066" t="s">
        <v>624</v>
      </c>
      <c r="H1066" s="2">
        <v>1864.49</v>
      </c>
      <c r="I1066" t="s">
        <v>25</v>
      </c>
      <c r="J1066" t="s">
        <v>22</v>
      </c>
      <c r="K1066" t="s">
        <v>12</v>
      </c>
    </row>
    <row r="1067" spans="1:11" x14ac:dyDescent="0.25">
      <c r="A1067" t="s">
        <v>1052</v>
      </c>
      <c r="B1067" t="s">
        <v>152</v>
      </c>
      <c r="C1067" t="s">
        <v>1053</v>
      </c>
      <c r="D1067">
        <v>996279256</v>
      </c>
      <c r="E1067" t="s">
        <v>9</v>
      </c>
      <c r="F1067" s="1">
        <v>45703</v>
      </c>
      <c r="G1067" t="s">
        <v>478</v>
      </c>
      <c r="H1067" s="2">
        <v>737.75</v>
      </c>
      <c r="I1067" t="s">
        <v>444</v>
      </c>
      <c r="J1067" t="s">
        <v>22</v>
      </c>
      <c r="K1067" t="s">
        <v>12</v>
      </c>
    </row>
    <row r="1068" spans="1:11" x14ac:dyDescent="0.25">
      <c r="A1068" t="s">
        <v>1155</v>
      </c>
      <c r="B1068" t="s">
        <v>218</v>
      </c>
      <c r="C1068" t="s">
        <v>1156</v>
      </c>
      <c r="D1068">
        <v>703370540</v>
      </c>
      <c r="E1068" t="s">
        <v>9</v>
      </c>
      <c r="F1068" s="1">
        <v>45752</v>
      </c>
      <c r="G1068" t="s">
        <v>35</v>
      </c>
      <c r="H1068" s="2">
        <v>259.89</v>
      </c>
      <c r="I1068" t="s">
        <v>25</v>
      </c>
      <c r="J1068" t="s">
        <v>36</v>
      </c>
      <c r="K1068" t="s">
        <v>12</v>
      </c>
    </row>
    <row r="1069" spans="1:11" x14ac:dyDescent="0.25">
      <c r="A1069" t="s">
        <v>535</v>
      </c>
      <c r="B1069" t="s">
        <v>68</v>
      </c>
      <c r="C1069" t="s">
        <v>536</v>
      </c>
      <c r="D1069">
        <v>743293622</v>
      </c>
      <c r="E1069" t="s">
        <v>9</v>
      </c>
      <c r="F1069" s="1">
        <v>45223</v>
      </c>
      <c r="G1069" t="s">
        <v>24</v>
      </c>
      <c r="H1069" s="2">
        <v>1098.4000000000001</v>
      </c>
      <c r="I1069" t="s">
        <v>507</v>
      </c>
      <c r="J1069" t="s">
        <v>33</v>
      </c>
      <c r="K1069" t="s">
        <v>16</v>
      </c>
    </row>
    <row r="1070" spans="1:11" x14ac:dyDescent="0.25">
      <c r="A1070" t="s">
        <v>756</v>
      </c>
      <c r="B1070" t="s">
        <v>302</v>
      </c>
      <c r="C1070" t="s">
        <v>757</v>
      </c>
      <c r="D1070">
        <v>705473147</v>
      </c>
      <c r="E1070" t="s">
        <v>9</v>
      </c>
      <c r="F1070" s="1">
        <v>45852</v>
      </c>
      <c r="G1070" t="s">
        <v>24</v>
      </c>
      <c r="H1070" s="2">
        <v>1191.1600000000001</v>
      </c>
      <c r="I1070" t="s">
        <v>444</v>
      </c>
      <c r="J1070" t="s">
        <v>26</v>
      </c>
      <c r="K1070" t="s">
        <v>12</v>
      </c>
    </row>
    <row r="1071" spans="1:11" x14ac:dyDescent="0.25">
      <c r="A1071" t="s">
        <v>1361</v>
      </c>
      <c r="B1071" t="s">
        <v>108</v>
      </c>
      <c r="C1071" t="s">
        <v>1362</v>
      </c>
      <c r="D1071">
        <v>739348248</v>
      </c>
      <c r="E1071" t="s">
        <v>9</v>
      </c>
      <c r="F1071" s="1">
        <v>45746</v>
      </c>
      <c r="G1071" t="s">
        <v>440</v>
      </c>
      <c r="H1071" s="2">
        <v>739.19</v>
      </c>
      <c r="I1071" t="s">
        <v>25</v>
      </c>
      <c r="J1071" t="s">
        <v>11</v>
      </c>
      <c r="K1071" t="s">
        <v>16</v>
      </c>
    </row>
    <row r="1072" spans="1:11" x14ac:dyDescent="0.25">
      <c r="A1072" t="s">
        <v>786</v>
      </c>
      <c r="B1072" t="s">
        <v>240</v>
      </c>
      <c r="C1072" t="s">
        <v>787</v>
      </c>
      <c r="D1072">
        <v>640094829</v>
      </c>
      <c r="E1072" t="s">
        <v>9</v>
      </c>
      <c r="F1072" s="1">
        <v>45732</v>
      </c>
      <c r="G1072" t="s">
        <v>412</v>
      </c>
      <c r="H1072" s="2">
        <v>1008.15</v>
      </c>
      <c r="I1072" t="s">
        <v>25</v>
      </c>
      <c r="J1072" t="s">
        <v>22</v>
      </c>
      <c r="K1072" t="s">
        <v>12</v>
      </c>
    </row>
    <row r="1073" spans="1:11" x14ac:dyDescent="0.25">
      <c r="A1073" t="s">
        <v>604</v>
      </c>
      <c r="B1073" t="s">
        <v>44</v>
      </c>
      <c r="C1073" t="s">
        <v>605</v>
      </c>
      <c r="D1073">
        <v>624519478</v>
      </c>
      <c r="E1073" t="s">
        <v>18</v>
      </c>
      <c r="F1073" s="1">
        <v>45364</v>
      </c>
      <c r="G1073" t="s">
        <v>443</v>
      </c>
      <c r="H1073" s="2">
        <v>1055.1500000000001</v>
      </c>
      <c r="I1073" t="s">
        <v>25</v>
      </c>
      <c r="J1073" t="s">
        <v>26</v>
      </c>
      <c r="K1073" t="s">
        <v>12</v>
      </c>
    </row>
    <row r="1074" spans="1:11" x14ac:dyDescent="0.25">
      <c r="A1074" t="s">
        <v>616</v>
      </c>
      <c r="B1074" t="s">
        <v>17</v>
      </c>
      <c r="C1074" t="s">
        <v>617</v>
      </c>
      <c r="D1074">
        <v>802128905</v>
      </c>
      <c r="E1074" t="s">
        <v>9</v>
      </c>
      <c r="F1074" s="1">
        <v>45436</v>
      </c>
      <c r="G1074" t="s">
        <v>412</v>
      </c>
      <c r="H1074" s="2">
        <v>738.87</v>
      </c>
      <c r="I1074" t="s">
        <v>25</v>
      </c>
      <c r="J1074" t="s">
        <v>22</v>
      </c>
      <c r="K1074" t="s">
        <v>16</v>
      </c>
    </row>
    <row r="1075" spans="1:11" x14ac:dyDescent="0.25">
      <c r="A1075" t="s">
        <v>756</v>
      </c>
      <c r="B1075" t="s">
        <v>302</v>
      </c>
      <c r="C1075" t="s">
        <v>757</v>
      </c>
      <c r="D1075">
        <v>705473147</v>
      </c>
      <c r="E1075" t="s">
        <v>9</v>
      </c>
      <c r="F1075" s="1">
        <v>45236</v>
      </c>
      <c r="G1075" t="s">
        <v>24</v>
      </c>
      <c r="H1075" s="2">
        <v>1947.23</v>
      </c>
      <c r="I1075" t="s">
        <v>25</v>
      </c>
      <c r="J1075" t="s">
        <v>33</v>
      </c>
      <c r="K1075" t="s">
        <v>16</v>
      </c>
    </row>
    <row r="1076" spans="1:11" x14ac:dyDescent="0.25">
      <c r="A1076" t="s">
        <v>1135</v>
      </c>
      <c r="B1076" t="s">
        <v>51</v>
      </c>
      <c r="C1076" t="s">
        <v>1136</v>
      </c>
      <c r="D1076">
        <v>619806776</v>
      </c>
      <c r="E1076" t="s">
        <v>9</v>
      </c>
      <c r="F1076" s="1">
        <v>45810</v>
      </c>
      <c r="G1076" t="s">
        <v>14</v>
      </c>
      <c r="H1076" s="2">
        <v>202.07</v>
      </c>
      <c r="I1076" t="s">
        <v>444</v>
      </c>
      <c r="J1076" t="s">
        <v>11</v>
      </c>
      <c r="K1076" t="s">
        <v>12</v>
      </c>
    </row>
    <row r="1077" spans="1:11" x14ac:dyDescent="0.25">
      <c r="A1077" t="s">
        <v>616</v>
      </c>
      <c r="B1077" t="s">
        <v>17</v>
      </c>
      <c r="C1077" t="s">
        <v>617</v>
      </c>
      <c r="D1077">
        <v>802128905</v>
      </c>
      <c r="E1077" t="s">
        <v>9</v>
      </c>
      <c r="F1077" s="1">
        <v>45390</v>
      </c>
      <c r="G1077" t="s">
        <v>412</v>
      </c>
      <c r="H1077" s="2">
        <v>888.96</v>
      </c>
      <c r="I1077" t="s">
        <v>25</v>
      </c>
      <c r="J1077" t="s">
        <v>22</v>
      </c>
      <c r="K1077" t="s">
        <v>12</v>
      </c>
    </row>
    <row r="1078" spans="1:11" x14ac:dyDescent="0.25">
      <c r="A1078" t="s">
        <v>774</v>
      </c>
      <c r="B1078" t="s">
        <v>269</v>
      </c>
      <c r="C1078" t="s">
        <v>775</v>
      </c>
      <c r="D1078">
        <v>741006511</v>
      </c>
      <c r="E1078" t="s">
        <v>9</v>
      </c>
      <c r="F1078" s="1">
        <v>45864</v>
      </c>
      <c r="G1078" t="s">
        <v>451</v>
      </c>
      <c r="H1078" s="2">
        <v>11.81</v>
      </c>
      <c r="I1078" t="s">
        <v>25</v>
      </c>
      <c r="J1078" t="s">
        <v>33</v>
      </c>
      <c r="K1078" t="s">
        <v>12</v>
      </c>
    </row>
    <row r="1079" spans="1:11" x14ac:dyDescent="0.25">
      <c r="A1079" t="s">
        <v>473</v>
      </c>
      <c r="B1079" t="s">
        <v>242</v>
      </c>
      <c r="C1079" t="s">
        <v>474</v>
      </c>
      <c r="D1079">
        <v>723510058</v>
      </c>
      <c r="E1079" t="s">
        <v>18</v>
      </c>
      <c r="F1079" s="1">
        <v>45643</v>
      </c>
      <c r="G1079" t="s">
        <v>475</v>
      </c>
      <c r="H1079" s="2">
        <v>729.15</v>
      </c>
      <c r="I1079" t="s">
        <v>25</v>
      </c>
      <c r="J1079" t="s">
        <v>36</v>
      </c>
      <c r="K1079" t="s">
        <v>12</v>
      </c>
    </row>
    <row r="1080" spans="1:11" x14ac:dyDescent="0.25">
      <c r="A1080" t="s">
        <v>1408</v>
      </c>
      <c r="B1080" t="s">
        <v>325</v>
      </c>
      <c r="C1080" t="s">
        <v>1409</v>
      </c>
      <c r="D1080">
        <v>879657385</v>
      </c>
      <c r="E1080" t="s">
        <v>9</v>
      </c>
      <c r="F1080" s="1">
        <v>45208</v>
      </c>
      <c r="G1080" t="s">
        <v>39</v>
      </c>
      <c r="H1080" s="2">
        <v>853.25</v>
      </c>
      <c r="I1080" t="s">
        <v>25</v>
      </c>
      <c r="J1080" t="s">
        <v>11</v>
      </c>
      <c r="K1080" t="s">
        <v>16</v>
      </c>
    </row>
    <row r="1081" spans="1:11" x14ac:dyDescent="0.25">
      <c r="A1081" t="s">
        <v>649</v>
      </c>
      <c r="B1081" t="s">
        <v>23</v>
      </c>
      <c r="C1081" t="s">
        <v>650</v>
      </c>
      <c r="D1081">
        <v>681942999</v>
      </c>
      <c r="E1081" t="s">
        <v>9</v>
      </c>
      <c r="F1081" s="1">
        <v>45202</v>
      </c>
      <c r="G1081" t="s">
        <v>10</v>
      </c>
      <c r="H1081" s="2">
        <v>1438.33</v>
      </c>
      <c r="I1081" t="s">
        <v>25</v>
      </c>
      <c r="J1081" t="s">
        <v>22</v>
      </c>
      <c r="K1081" t="s">
        <v>12</v>
      </c>
    </row>
    <row r="1082" spans="1:11" x14ac:dyDescent="0.25">
      <c r="A1082" t="s">
        <v>1410</v>
      </c>
      <c r="B1082" t="s">
        <v>60</v>
      </c>
      <c r="C1082" t="s">
        <v>1411</v>
      </c>
      <c r="D1082">
        <v>744889116</v>
      </c>
      <c r="E1082" t="s">
        <v>18</v>
      </c>
      <c r="F1082" s="1">
        <v>45384</v>
      </c>
      <c r="G1082" t="s">
        <v>47</v>
      </c>
      <c r="H1082" s="2">
        <v>802.81</v>
      </c>
      <c r="I1082" t="s">
        <v>25</v>
      </c>
      <c r="J1082" t="s">
        <v>11</v>
      </c>
      <c r="K1082" t="s">
        <v>12</v>
      </c>
    </row>
    <row r="1083" spans="1:11" x14ac:dyDescent="0.25">
      <c r="A1083" t="s">
        <v>1412</v>
      </c>
      <c r="B1083" t="s">
        <v>332</v>
      </c>
      <c r="C1083" t="s">
        <v>1413</v>
      </c>
      <c r="D1083">
        <v>631492423</v>
      </c>
      <c r="E1083" t="s">
        <v>18</v>
      </c>
      <c r="F1083" s="1">
        <v>45280</v>
      </c>
      <c r="G1083" t="s">
        <v>475</v>
      </c>
      <c r="H1083" s="2">
        <v>1250.48</v>
      </c>
      <c r="I1083" t="s">
        <v>25</v>
      </c>
      <c r="J1083" t="s">
        <v>36</v>
      </c>
      <c r="K1083" t="s">
        <v>12</v>
      </c>
    </row>
    <row r="1084" spans="1:11" x14ac:dyDescent="0.25">
      <c r="A1084" t="s">
        <v>1251</v>
      </c>
      <c r="B1084" t="s">
        <v>154</v>
      </c>
      <c r="C1084" t="s">
        <v>1252</v>
      </c>
      <c r="D1084">
        <v>702573842</v>
      </c>
      <c r="E1084" t="s">
        <v>9</v>
      </c>
      <c r="F1084" s="1">
        <v>45788</v>
      </c>
      <c r="G1084" t="s">
        <v>32</v>
      </c>
      <c r="H1084" s="2">
        <v>1061.9000000000001</v>
      </c>
      <c r="I1084" t="s">
        <v>25</v>
      </c>
      <c r="J1084" t="s">
        <v>33</v>
      </c>
      <c r="K1084" t="s">
        <v>16</v>
      </c>
    </row>
    <row r="1085" spans="1:11" x14ac:dyDescent="0.25">
      <c r="A1085" t="s">
        <v>669</v>
      </c>
      <c r="B1085" t="s">
        <v>95</v>
      </c>
      <c r="C1085" t="s">
        <v>670</v>
      </c>
      <c r="D1085">
        <v>749984420</v>
      </c>
      <c r="E1085" t="s">
        <v>9</v>
      </c>
      <c r="F1085" s="1">
        <v>45385</v>
      </c>
      <c r="G1085" t="s">
        <v>518</v>
      </c>
      <c r="H1085" s="2">
        <v>1882.09</v>
      </c>
      <c r="I1085" t="s">
        <v>25</v>
      </c>
      <c r="J1085" t="s">
        <v>33</v>
      </c>
      <c r="K1085" t="s">
        <v>16</v>
      </c>
    </row>
    <row r="1086" spans="1:11" x14ac:dyDescent="0.25">
      <c r="A1086" t="s">
        <v>691</v>
      </c>
      <c r="B1086" t="s">
        <v>361</v>
      </c>
      <c r="C1086" t="s">
        <v>692</v>
      </c>
      <c r="D1086">
        <v>653146228</v>
      </c>
      <c r="E1086" t="s">
        <v>18</v>
      </c>
      <c r="F1086" s="1">
        <v>45450</v>
      </c>
      <c r="G1086" t="s">
        <v>460</v>
      </c>
      <c r="H1086" s="2">
        <v>579.26</v>
      </c>
      <c r="I1086" t="s">
        <v>25</v>
      </c>
      <c r="J1086" t="s">
        <v>36</v>
      </c>
      <c r="K1086" t="s">
        <v>12</v>
      </c>
    </row>
    <row r="1087" spans="1:11" x14ac:dyDescent="0.25">
      <c r="A1087" t="s">
        <v>458</v>
      </c>
      <c r="B1087" t="s">
        <v>377</v>
      </c>
      <c r="C1087" t="s">
        <v>459</v>
      </c>
      <c r="D1087">
        <v>747259283</v>
      </c>
      <c r="E1087" t="s">
        <v>9</v>
      </c>
      <c r="F1087" s="1">
        <v>45336</v>
      </c>
      <c r="G1087" t="s">
        <v>460</v>
      </c>
      <c r="H1087" s="2">
        <v>819.46</v>
      </c>
      <c r="I1087" t="s">
        <v>25</v>
      </c>
      <c r="J1087" t="s">
        <v>22</v>
      </c>
      <c r="K1087" t="s">
        <v>16</v>
      </c>
    </row>
    <row r="1088" spans="1:11" x14ac:dyDescent="0.25">
      <c r="A1088" t="s">
        <v>1288</v>
      </c>
      <c r="B1088" t="s">
        <v>169</v>
      </c>
      <c r="C1088" t="s">
        <v>1289</v>
      </c>
      <c r="D1088">
        <v>729679272</v>
      </c>
      <c r="E1088" t="s">
        <v>18</v>
      </c>
      <c r="F1088" s="1">
        <v>45443</v>
      </c>
      <c r="G1088" t="s">
        <v>624</v>
      </c>
      <c r="H1088" s="2">
        <v>596.29</v>
      </c>
      <c r="I1088" t="s">
        <v>444</v>
      </c>
      <c r="J1088" t="s">
        <v>11</v>
      </c>
      <c r="K1088" t="s">
        <v>12</v>
      </c>
    </row>
    <row r="1089" spans="1:11" x14ac:dyDescent="0.25">
      <c r="A1089" t="s">
        <v>662</v>
      </c>
      <c r="B1089" t="s">
        <v>241</v>
      </c>
      <c r="C1089" t="s">
        <v>663</v>
      </c>
      <c r="D1089">
        <v>717637012</v>
      </c>
      <c r="E1089" t="s">
        <v>18</v>
      </c>
      <c r="F1089" s="1">
        <v>45483</v>
      </c>
      <c r="G1089" t="s">
        <v>29</v>
      </c>
      <c r="H1089" s="2">
        <v>1546.6</v>
      </c>
      <c r="I1089" t="s">
        <v>25</v>
      </c>
      <c r="J1089" t="s">
        <v>36</v>
      </c>
      <c r="K1089" t="s">
        <v>16</v>
      </c>
    </row>
    <row r="1090" spans="1:11" x14ac:dyDescent="0.25">
      <c r="A1090" t="s">
        <v>1355</v>
      </c>
      <c r="B1090" t="s">
        <v>185</v>
      </c>
      <c r="C1090" t="s">
        <v>1356</v>
      </c>
      <c r="D1090">
        <v>717432836</v>
      </c>
      <c r="E1090" t="s">
        <v>9</v>
      </c>
      <c r="F1090" s="1">
        <v>45287</v>
      </c>
      <c r="G1090" t="s">
        <v>423</v>
      </c>
      <c r="H1090" s="2">
        <v>1546.39</v>
      </c>
      <c r="I1090" t="s">
        <v>25</v>
      </c>
      <c r="J1090" t="s">
        <v>36</v>
      </c>
      <c r="K1090" t="s">
        <v>16</v>
      </c>
    </row>
    <row r="1091" spans="1:11" x14ac:dyDescent="0.25">
      <c r="A1091" t="s">
        <v>1080</v>
      </c>
      <c r="B1091" t="s">
        <v>379</v>
      </c>
      <c r="C1091" t="s">
        <v>1081</v>
      </c>
      <c r="D1091">
        <v>615926523</v>
      </c>
      <c r="E1091" t="s">
        <v>9</v>
      </c>
      <c r="F1091" s="1">
        <v>45851</v>
      </c>
      <c r="G1091" t="s">
        <v>478</v>
      </c>
      <c r="H1091" s="2">
        <v>765.79</v>
      </c>
      <c r="I1091" t="s">
        <v>25</v>
      </c>
      <c r="J1091" t="s">
        <v>22</v>
      </c>
      <c r="K1091" t="s">
        <v>16</v>
      </c>
    </row>
    <row r="1092" spans="1:11" x14ac:dyDescent="0.25">
      <c r="A1092" t="s">
        <v>1310</v>
      </c>
      <c r="B1092" t="s">
        <v>274</v>
      </c>
      <c r="C1092" t="s">
        <v>1311</v>
      </c>
      <c r="D1092">
        <v>636749216</v>
      </c>
      <c r="E1092" t="s">
        <v>9</v>
      </c>
      <c r="F1092" s="1">
        <v>45617</v>
      </c>
      <c r="G1092" t="s">
        <v>24</v>
      </c>
      <c r="H1092" s="2">
        <v>706.05</v>
      </c>
      <c r="I1092" t="s">
        <v>444</v>
      </c>
      <c r="J1092" t="s">
        <v>11</v>
      </c>
      <c r="K1092" t="s">
        <v>12</v>
      </c>
    </row>
    <row r="1093" spans="1:11" x14ac:dyDescent="0.25">
      <c r="A1093" t="s">
        <v>1209</v>
      </c>
      <c r="B1093" t="s">
        <v>363</v>
      </c>
      <c r="C1093" t="s">
        <v>1210</v>
      </c>
      <c r="D1093">
        <v>740184253</v>
      </c>
      <c r="E1093" t="s">
        <v>13</v>
      </c>
      <c r="F1093" s="1">
        <v>45464</v>
      </c>
      <c r="G1093" t="s">
        <v>506</v>
      </c>
      <c r="H1093" s="2">
        <v>1340.89</v>
      </c>
      <c r="I1093" t="s">
        <v>25</v>
      </c>
      <c r="J1093" t="s">
        <v>15</v>
      </c>
      <c r="K1093" t="s">
        <v>12</v>
      </c>
    </row>
    <row r="1094" spans="1:11" x14ac:dyDescent="0.25">
      <c r="A1094" t="s">
        <v>731</v>
      </c>
      <c r="B1094" t="s">
        <v>65</v>
      </c>
      <c r="C1094" t="s">
        <v>732</v>
      </c>
      <c r="D1094">
        <v>719409141</v>
      </c>
      <c r="E1094" t="s">
        <v>18</v>
      </c>
      <c r="F1094" s="1">
        <v>45820</v>
      </c>
      <c r="G1094" t="s">
        <v>39</v>
      </c>
      <c r="H1094" s="2">
        <v>51.42</v>
      </c>
      <c r="I1094" t="s">
        <v>444</v>
      </c>
      <c r="J1094" t="s">
        <v>11</v>
      </c>
      <c r="K1094" t="s">
        <v>12</v>
      </c>
    </row>
    <row r="1095" spans="1:11" x14ac:dyDescent="0.25">
      <c r="A1095" t="s">
        <v>679</v>
      </c>
      <c r="B1095" t="s">
        <v>194</v>
      </c>
      <c r="C1095" t="s">
        <v>680</v>
      </c>
      <c r="D1095">
        <v>713186177</v>
      </c>
      <c r="E1095" t="s">
        <v>18</v>
      </c>
      <c r="F1095" s="1">
        <v>45330</v>
      </c>
      <c r="G1095" t="s">
        <v>418</v>
      </c>
      <c r="H1095" s="2">
        <v>1415.69</v>
      </c>
      <c r="I1095" t="s">
        <v>25</v>
      </c>
      <c r="J1095" t="s">
        <v>36</v>
      </c>
      <c r="K1095" t="s">
        <v>16</v>
      </c>
    </row>
    <row r="1096" spans="1:11" x14ac:dyDescent="0.25">
      <c r="A1096" t="s">
        <v>778</v>
      </c>
      <c r="B1096" t="s">
        <v>162</v>
      </c>
      <c r="C1096" t="s">
        <v>779</v>
      </c>
      <c r="D1096">
        <v>859523189</v>
      </c>
      <c r="E1096" t="s">
        <v>9</v>
      </c>
      <c r="F1096" s="1">
        <v>45775</v>
      </c>
      <c r="G1096" t="s">
        <v>19</v>
      </c>
      <c r="H1096" s="2">
        <v>46.31</v>
      </c>
      <c r="I1096" t="s">
        <v>444</v>
      </c>
      <c r="J1096" t="s">
        <v>22</v>
      </c>
      <c r="K1096" t="s">
        <v>16</v>
      </c>
    </row>
    <row r="1097" spans="1:11" x14ac:dyDescent="0.25">
      <c r="A1097" t="s">
        <v>958</v>
      </c>
      <c r="B1097" t="s">
        <v>61</v>
      </c>
      <c r="C1097" t="s">
        <v>959</v>
      </c>
      <c r="D1097">
        <v>725944347</v>
      </c>
      <c r="E1097" t="s">
        <v>18</v>
      </c>
      <c r="F1097" s="1">
        <v>45277</v>
      </c>
      <c r="G1097" t="s">
        <v>423</v>
      </c>
      <c r="H1097" s="2">
        <v>281.10000000000002</v>
      </c>
      <c r="I1097" t="s">
        <v>25</v>
      </c>
      <c r="J1097" t="s">
        <v>36</v>
      </c>
      <c r="K1097" t="s">
        <v>16</v>
      </c>
    </row>
    <row r="1098" spans="1:11" x14ac:dyDescent="0.25">
      <c r="A1098" t="s">
        <v>664</v>
      </c>
      <c r="B1098" t="s">
        <v>80</v>
      </c>
      <c r="C1098" t="s">
        <v>665</v>
      </c>
      <c r="D1098">
        <v>622023254</v>
      </c>
      <c r="E1098" t="s">
        <v>9</v>
      </c>
      <c r="F1098" s="1">
        <v>45380</v>
      </c>
      <c r="G1098" t="s">
        <v>32</v>
      </c>
      <c r="H1098" s="2">
        <v>1449.87</v>
      </c>
      <c r="I1098" t="s">
        <v>25</v>
      </c>
      <c r="J1098" t="s">
        <v>36</v>
      </c>
      <c r="K1098" t="s">
        <v>16</v>
      </c>
    </row>
    <row r="1099" spans="1:11" x14ac:dyDescent="0.25">
      <c r="A1099" t="s">
        <v>816</v>
      </c>
      <c r="B1099" t="s">
        <v>264</v>
      </c>
      <c r="C1099" t="s">
        <v>817</v>
      </c>
      <c r="D1099">
        <v>705449727</v>
      </c>
      <c r="E1099" t="s">
        <v>9</v>
      </c>
      <c r="F1099" s="1">
        <v>45712</v>
      </c>
      <c r="G1099" t="s">
        <v>440</v>
      </c>
      <c r="H1099" s="2">
        <v>496.52</v>
      </c>
      <c r="I1099" t="s">
        <v>25</v>
      </c>
      <c r="J1099" t="s">
        <v>22</v>
      </c>
      <c r="K1099" t="s">
        <v>12</v>
      </c>
    </row>
    <row r="1100" spans="1:11" x14ac:dyDescent="0.25">
      <c r="A1100" t="s">
        <v>685</v>
      </c>
      <c r="B1100" t="s">
        <v>342</v>
      </c>
      <c r="C1100" t="s">
        <v>686</v>
      </c>
      <c r="D1100">
        <v>718300332</v>
      </c>
      <c r="E1100" t="s">
        <v>9</v>
      </c>
      <c r="F1100" s="1">
        <v>45421</v>
      </c>
      <c r="G1100" t="s">
        <v>423</v>
      </c>
      <c r="H1100" s="2">
        <v>486.37</v>
      </c>
      <c r="I1100" t="s">
        <v>25</v>
      </c>
      <c r="J1100" t="s">
        <v>26</v>
      </c>
      <c r="K1100" t="s">
        <v>12</v>
      </c>
    </row>
    <row r="1101" spans="1:11" x14ac:dyDescent="0.25">
      <c r="A1101" t="s">
        <v>1190</v>
      </c>
      <c r="B1101" t="s">
        <v>117</v>
      </c>
      <c r="C1101" t="s">
        <v>1191</v>
      </c>
      <c r="D1101">
        <v>716077636</v>
      </c>
      <c r="E1101" t="s">
        <v>18</v>
      </c>
      <c r="F1101" s="1">
        <v>45375</v>
      </c>
      <c r="G1101" t="s">
        <v>624</v>
      </c>
      <c r="H1101" s="2">
        <v>1689.76</v>
      </c>
      <c r="I1101" t="s">
        <v>25</v>
      </c>
      <c r="J1101" t="s">
        <v>36</v>
      </c>
      <c r="K1101" t="s">
        <v>16</v>
      </c>
    </row>
    <row r="1102" spans="1:11" x14ac:dyDescent="0.25">
      <c r="A1102" t="s">
        <v>1168</v>
      </c>
      <c r="B1102" t="s">
        <v>74</v>
      </c>
      <c r="C1102" t="s">
        <v>1169</v>
      </c>
      <c r="D1102">
        <v>721034679</v>
      </c>
      <c r="E1102" t="s">
        <v>9</v>
      </c>
      <c r="F1102" s="1">
        <v>45687</v>
      </c>
      <c r="G1102" t="s">
        <v>603</v>
      </c>
      <c r="H1102" s="2">
        <v>138.11000000000001</v>
      </c>
      <c r="I1102" t="s">
        <v>25</v>
      </c>
      <c r="J1102" t="s">
        <v>33</v>
      </c>
      <c r="K1102" t="s">
        <v>16</v>
      </c>
    </row>
    <row r="1103" spans="1:11" x14ac:dyDescent="0.25">
      <c r="A1103" t="s">
        <v>1412</v>
      </c>
      <c r="B1103" t="s">
        <v>332</v>
      </c>
      <c r="C1103" t="s">
        <v>1413</v>
      </c>
      <c r="D1103">
        <v>631492423</v>
      </c>
      <c r="E1103" t="s">
        <v>18</v>
      </c>
      <c r="F1103" s="1">
        <v>45715</v>
      </c>
      <c r="G1103" t="s">
        <v>475</v>
      </c>
      <c r="H1103" s="2">
        <v>1466.81</v>
      </c>
      <c r="I1103" t="s">
        <v>25</v>
      </c>
      <c r="J1103" t="s">
        <v>26</v>
      </c>
      <c r="K1103" t="s">
        <v>12</v>
      </c>
    </row>
    <row r="1104" spans="1:11" x14ac:dyDescent="0.25">
      <c r="A1104" t="s">
        <v>1205</v>
      </c>
      <c r="B1104" t="s">
        <v>56</v>
      </c>
      <c r="C1104" t="s">
        <v>1206</v>
      </c>
      <c r="D1104">
        <v>726225372</v>
      </c>
      <c r="E1104" t="s">
        <v>9</v>
      </c>
      <c r="F1104" s="1">
        <v>45598</v>
      </c>
      <c r="G1104" t="s">
        <v>24</v>
      </c>
      <c r="H1104" s="2">
        <v>1721.31</v>
      </c>
      <c r="I1104" t="s">
        <v>25</v>
      </c>
      <c r="J1104" t="s">
        <v>26</v>
      </c>
      <c r="K1104" t="s">
        <v>16</v>
      </c>
    </row>
    <row r="1105" spans="1:11" x14ac:dyDescent="0.25">
      <c r="A1105" t="s">
        <v>568</v>
      </c>
      <c r="B1105" t="s">
        <v>188</v>
      </c>
      <c r="C1105" t="s">
        <v>569</v>
      </c>
      <c r="D1105">
        <v>841231253</v>
      </c>
      <c r="E1105" t="s">
        <v>9</v>
      </c>
      <c r="F1105" s="1">
        <v>45380</v>
      </c>
      <c r="G1105" t="s">
        <v>47</v>
      </c>
      <c r="H1105" s="2">
        <v>264.37</v>
      </c>
      <c r="I1105" t="s">
        <v>25</v>
      </c>
      <c r="J1105" t="s">
        <v>15</v>
      </c>
      <c r="K1105" t="s">
        <v>12</v>
      </c>
    </row>
    <row r="1106" spans="1:11" x14ac:dyDescent="0.25">
      <c r="A1106" t="s">
        <v>928</v>
      </c>
      <c r="B1106" t="s">
        <v>141</v>
      </c>
      <c r="C1106" t="s">
        <v>929</v>
      </c>
      <c r="D1106">
        <v>737596279</v>
      </c>
      <c r="E1106" t="s">
        <v>9</v>
      </c>
      <c r="F1106" s="1">
        <v>45380</v>
      </c>
      <c r="G1106" t="s">
        <v>603</v>
      </c>
      <c r="H1106" s="2">
        <v>221.54</v>
      </c>
      <c r="I1106" t="s">
        <v>25</v>
      </c>
      <c r="J1106" t="s">
        <v>11</v>
      </c>
      <c r="K1106" t="s">
        <v>16</v>
      </c>
    </row>
    <row r="1107" spans="1:11" x14ac:dyDescent="0.25">
      <c r="A1107" t="s">
        <v>695</v>
      </c>
      <c r="B1107" t="s">
        <v>399</v>
      </c>
      <c r="C1107" t="s">
        <v>696</v>
      </c>
      <c r="D1107">
        <v>714072413</v>
      </c>
      <c r="E1107" t="s">
        <v>18</v>
      </c>
      <c r="F1107" s="1">
        <v>45269</v>
      </c>
      <c r="G1107" t="s">
        <v>478</v>
      </c>
      <c r="H1107" s="2">
        <v>343.93</v>
      </c>
      <c r="I1107" t="s">
        <v>25</v>
      </c>
      <c r="J1107" t="s">
        <v>36</v>
      </c>
      <c r="K1107" t="s">
        <v>16</v>
      </c>
    </row>
    <row r="1108" spans="1:11" x14ac:dyDescent="0.25">
      <c r="A1108" t="s">
        <v>717</v>
      </c>
      <c r="B1108" t="s">
        <v>208</v>
      </c>
      <c r="C1108" t="s">
        <v>718</v>
      </c>
      <c r="D1108">
        <v>723570924</v>
      </c>
      <c r="E1108" t="s">
        <v>9</v>
      </c>
      <c r="F1108" s="1">
        <v>45411</v>
      </c>
      <c r="G1108" t="s">
        <v>506</v>
      </c>
      <c r="H1108" s="2">
        <v>480.75</v>
      </c>
      <c r="I1108" t="s">
        <v>25</v>
      </c>
      <c r="J1108" t="s">
        <v>22</v>
      </c>
      <c r="K1108" t="s">
        <v>12</v>
      </c>
    </row>
    <row r="1109" spans="1:11" x14ac:dyDescent="0.25">
      <c r="A1109" t="s">
        <v>919</v>
      </c>
      <c r="B1109" t="s">
        <v>338</v>
      </c>
      <c r="C1109" t="s">
        <v>920</v>
      </c>
      <c r="D1109">
        <v>650924818</v>
      </c>
      <c r="E1109" t="s">
        <v>18</v>
      </c>
      <c r="F1109" s="1">
        <v>45654</v>
      </c>
      <c r="G1109" t="s">
        <v>19</v>
      </c>
      <c r="H1109" s="2">
        <v>720.57</v>
      </c>
      <c r="I1109" t="s">
        <v>444</v>
      </c>
      <c r="J1109" t="s">
        <v>11</v>
      </c>
      <c r="K1109" t="s">
        <v>16</v>
      </c>
    </row>
    <row r="1110" spans="1:11" x14ac:dyDescent="0.25">
      <c r="A1110" t="s">
        <v>921</v>
      </c>
      <c r="B1110" t="s">
        <v>922</v>
      </c>
      <c r="C1110" t="s">
        <v>923</v>
      </c>
      <c r="D1110">
        <v>722992018</v>
      </c>
      <c r="E1110" t="s">
        <v>9</v>
      </c>
      <c r="F1110" s="1">
        <v>45280</v>
      </c>
      <c r="G1110" t="s">
        <v>460</v>
      </c>
      <c r="H1110" s="2">
        <v>133.22</v>
      </c>
      <c r="I1110" t="s">
        <v>25</v>
      </c>
      <c r="J1110" t="s">
        <v>22</v>
      </c>
      <c r="K1110" t="s">
        <v>16</v>
      </c>
    </row>
    <row r="1111" spans="1:11" x14ac:dyDescent="0.25">
      <c r="A1111" t="s">
        <v>635</v>
      </c>
      <c r="B1111" t="s">
        <v>274</v>
      </c>
      <c r="C1111" t="s">
        <v>636</v>
      </c>
      <c r="D1111">
        <v>719168799</v>
      </c>
      <c r="E1111" t="s">
        <v>9</v>
      </c>
      <c r="F1111" s="1">
        <v>45341</v>
      </c>
      <c r="G1111" t="s">
        <v>19</v>
      </c>
      <c r="H1111" s="2">
        <v>718.47</v>
      </c>
      <c r="I1111" t="s">
        <v>444</v>
      </c>
      <c r="J1111" t="s">
        <v>33</v>
      </c>
      <c r="K1111" t="s">
        <v>12</v>
      </c>
    </row>
    <row r="1112" spans="1:11" x14ac:dyDescent="0.25">
      <c r="A1112" t="s">
        <v>1307</v>
      </c>
      <c r="B1112" t="s">
        <v>1308</v>
      </c>
      <c r="C1112" t="s">
        <v>1309</v>
      </c>
      <c r="D1112">
        <v>899491733</v>
      </c>
      <c r="E1112" t="s">
        <v>9</v>
      </c>
      <c r="F1112" s="1">
        <v>45748</v>
      </c>
      <c r="G1112" t="s">
        <v>518</v>
      </c>
      <c r="H1112" s="2">
        <v>536.51</v>
      </c>
      <c r="I1112" t="s">
        <v>25</v>
      </c>
      <c r="J1112" t="s">
        <v>22</v>
      </c>
      <c r="K1112" t="s">
        <v>16</v>
      </c>
    </row>
    <row r="1113" spans="1:11" x14ac:dyDescent="0.25">
      <c r="A1113" t="s">
        <v>889</v>
      </c>
      <c r="B1113" t="s">
        <v>49</v>
      </c>
      <c r="C1113" t="s">
        <v>890</v>
      </c>
      <c r="D1113">
        <v>651438049</v>
      </c>
      <c r="E1113" t="s">
        <v>9</v>
      </c>
      <c r="F1113" s="1">
        <v>45226</v>
      </c>
      <c r="G1113" t="s">
        <v>35</v>
      </c>
      <c r="H1113" s="2">
        <v>736.19</v>
      </c>
      <c r="I1113" t="s">
        <v>25</v>
      </c>
      <c r="J1113" t="s">
        <v>36</v>
      </c>
      <c r="K1113" t="s">
        <v>12</v>
      </c>
    </row>
    <row r="1114" spans="1:11" x14ac:dyDescent="0.25">
      <c r="A1114" t="s">
        <v>1196</v>
      </c>
      <c r="B1114" t="s">
        <v>268</v>
      </c>
      <c r="C1114" t="s">
        <v>1197</v>
      </c>
      <c r="D1114">
        <v>706232765</v>
      </c>
      <c r="E1114" t="s">
        <v>9</v>
      </c>
      <c r="F1114" s="1">
        <v>45748</v>
      </c>
      <c r="G1114" t="s">
        <v>415</v>
      </c>
      <c r="H1114" s="2">
        <v>1985.79</v>
      </c>
      <c r="I1114" t="s">
        <v>25</v>
      </c>
      <c r="J1114" t="s">
        <v>33</v>
      </c>
      <c r="K1114" t="s">
        <v>12</v>
      </c>
    </row>
    <row r="1115" spans="1:11" x14ac:dyDescent="0.25">
      <c r="A1115" t="s">
        <v>1234</v>
      </c>
      <c r="B1115" t="s">
        <v>331</v>
      </c>
      <c r="C1115" t="s">
        <v>1235</v>
      </c>
      <c r="D1115">
        <v>877322134</v>
      </c>
      <c r="E1115" t="s">
        <v>18</v>
      </c>
      <c r="F1115" s="1">
        <v>45300</v>
      </c>
      <c r="G1115" t="s">
        <v>21</v>
      </c>
      <c r="H1115" s="2">
        <v>1748.15</v>
      </c>
      <c r="I1115" t="s">
        <v>507</v>
      </c>
      <c r="J1115" t="s">
        <v>36</v>
      </c>
      <c r="K1115" t="s">
        <v>16</v>
      </c>
    </row>
    <row r="1116" spans="1:11" x14ac:dyDescent="0.25">
      <c r="A1116" t="s">
        <v>1377</v>
      </c>
      <c r="B1116" t="s">
        <v>56</v>
      </c>
      <c r="C1116" t="s">
        <v>1378</v>
      </c>
      <c r="D1116">
        <v>717669942</v>
      </c>
      <c r="E1116" t="s">
        <v>9</v>
      </c>
      <c r="F1116" s="1">
        <v>45442</v>
      </c>
      <c r="G1116" t="s">
        <v>24</v>
      </c>
      <c r="H1116" s="2">
        <v>1481.77</v>
      </c>
      <c r="I1116" t="s">
        <v>444</v>
      </c>
      <c r="J1116" t="s">
        <v>36</v>
      </c>
      <c r="K1116" t="s">
        <v>16</v>
      </c>
    </row>
    <row r="1117" spans="1:11" x14ac:dyDescent="0.25">
      <c r="A1117" t="s">
        <v>1112</v>
      </c>
      <c r="B1117" t="s">
        <v>1113</v>
      </c>
      <c r="C1117" t="s">
        <v>1114</v>
      </c>
      <c r="D1117">
        <v>636255184</v>
      </c>
      <c r="E1117" t="s">
        <v>9</v>
      </c>
      <c r="F1117" s="1">
        <v>45419</v>
      </c>
      <c r="G1117" t="s">
        <v>415</v>
      </c>
      <c r="H1117" s="2">
        <v>199.41</v>
      </c>
      <c r="I1117" t="s">
        <v>25</v>
      </c>
      <c r="J1117" t="s">
        <v>36</v>
      </c>
      <c r="K1117" t="s">
        <v>12</v>
      </c>
    </row>
    <row r="1118" spans="1:11" x14ac:dyDescent="0.25">
      <c r="A1118" t="s">
        <v>1064</v>
      </c>
      <c r="B1118" t="s">
        <v>380</v>
      </c>
      <c r="C1118" t="s">
        <v>1065</v>
      </c>
      <c r="D1118">
        <v>704384474</v>
      </c>
      <c r="E1118" t="s">
        <v>9</v>
      </c>
      <c r="F1118" s="1">
        <v>45439</v>
      </c>
      <c r="G1118" t="s">
        <v>412</v>
      </c>
      <c r="H1118" s="2">
        <v>920.6</v>
      </c>
      <c r="I1118" t="s">
        <v>444</v>
      </c>
      <c r="J1118" t="s">
        <v>36</v>
      </c>
      <c r="K1118" t="s">
        <v>16</v>
      </c>
    </row>
    <row r="1119" spans="1:11" x14ac:dyDescent="0.25">
      <c r="A1119" t="s">
        <v>1012</v>
      </c>
      <c r="B1119" t="s">
        <v>192</v>
      </c>
      <c r="C1119" t="s">
        <v>1013</v>
      </c>
      <c r="D1119">
        <v>735892521</v>
      </c>
      <c r="E1119" t="s">
        <v>18</v>
      </c>
      <c r="F1119" s="1">
        <v>45608</v>
      </c>
      <c r="G1119" t="s">
        <v>412</v>
      </c>
      <c r="H1119" s="2">
        <v>107.11</v>
      </c>
      <c r="I1119" t="s">
        <v>25</v>
      </c>
      <c r="J1119" t="s">
        <v>36</v>
      </c>
      <c r="K1119" t="s">
        <v>16</v>
      </c>
    </row>
    <row r="1120" spans="1:11" x14ac:dyDescent="0.25">
      <c r="A1120" t="s">
        <v>1414</v>
      </c>
      <c r="B1120" t="s">
        <v>227</v>
      </c>
      <c r="C1120" t="s">
        <v>1415</v>
      </c>
      <c r="D1120">
        <v>828648397</v>
      </c>
      <c r="E1120" t="s">
        <v>9</v>
      </c>
      <c r="F1120" s="1">
        <v>45397</v>
      </c>
      <c r="G1120" t="s">
        <v>21</v>
      </c>
      <c r="H1120" s="2">
        <v>1175.47</v>
      </c>
      <c r="I1120" t="s">
        <v>25</v>
      </c>
      <c r="J1120" t="s">
        <v>33</v>
      </c>
      <c r="K1120" t="s">
        <v>16</v>
      </c>
    </row>
    <row r="1121" spans="1:11" x14ac:dyDescent="0.25">
      <c r="A1121" t="s">
        <v>1050</v>
      </c>
      <c r="B1121" t="s">
        <v>380</v>
      </c>
      <c r="C1121" t="s">
        <v>1051</v>
      </c>
      <c r="D1121">
        <v>724173510</v>
      </c>
      <c r="E1121" t="s">
        <v>9</v>
      </c>
      <c r="F1121" s="1">
        <v>45725</v>
      </c>
      <c r="G1121" t="s">
        <v>506</v>
      </c>
      <c r="H1121" s="2">
        <v>669.96</v>
      </c>
      <c r="I1121" t="s">
        <v>25</v>
      </c>
      <c r="J1121" t="s">
        <v>33</v>
      </c>
      <c r="K1121" t="s">
        <v>16</v>
      </c>
    </row>
    <row r="1122" spans="1:11" x14ac:dyDescent="0.25">
      <c r="A1122" t="s">
        <v>1112</v>
      </c>
      <c r="B1122" t="s">
        <v>1113</v>
      </c>
      <c r="C1122" t="s">
        <v>1114</v>
      </c>
      <c r="D1122">
        <v>636255184</v>
      </c>
      <c r="E1122" t="s">
        <v>9</v>
      </c>
      <c r="F1122" s="1">
        <v>45321</v>
      </c>
      <c r="G1122" t="s">
        <v>415</v>
      </c>
      <c r="H1122" s="2">
        <v>1384.54</v>
      </c>
      <c r="I1122" t="s">
        <v>25</v>
      </c>
      <c r="J1122" t="s">
        <v>11</v>
      </c>
      <c r="K1122" t="s">
        <v>16</v>
      </c>
    </row>
    <row r="1123" spans="1:11" x14ac:dyDescent="0.25">
      <c r="A1123" t="s">
        <v>616</v>
      </c>
      <c r="B1123" t="s">
        <v>17</v>
      </c>
      <c r="C1123" t="s">
        <v>617</v>
      </c>
      <c r="D1123">
        <v>802128905</v>
      </c>
      <c r="E1123" t="s">
        <v>9</v>
      </c>
      <c r="F1123" s="1">
        <v>45881</v>
      </c>
      <c r="G1123" t="s">
        <v>412</v>
      </c>
      <c r="H1123" s="2">
        <v>1188.6300000000001</v>
      </c>
      <c r="I1123" t="s">
        <v>25</v>
      </c>
      <c r="J1123" t="s">
        <v>22</v>
      </c>
      <c r="K1123" t="s">
        <v>12</v>
      </c>
    </row>
    <row r="1124" spans="1:11" x14ac:dyDescent="0.25">
      <c r="A1124" t="s">
        <v>970</v>
      </c>
      <c r="B1124" t="s">
        <v>289</v>
      </c>
      <c r="C1124" t="s">
        <v>971</v>
      </c>
      <c r="D1124">
        <v>804914249</v>
      </c>
      <c r="E1124" t="s">
        <v>9</v>
      </c>
      <c r="F1124" s="1">
        <v>45708</v>
      </c>
      <c r="G1124" t="s">
        <v>418</v>
      </c>
      <c r="H1124" s="2">
        <v>1075.83</v>
      </c>
      <c r="I1124" t="s">
        <v>25</v>
      </c>
      <c r="J1124" t="s">
        <v>33</v>
      </c>
      <c r="K1124" t="s">
        <v>12</v>
      </c>
    </row>
    <row r="1125" spans="1:11" x14ac:dyDescent="0.25">
      <c r="A1125" t="s">
        <v>622</v>
      </c>
      <c r="B1125" t="s">
        <v>274</v>
      </c>
      <c r="C1125" t="s">
        <v>623</v>
      </c>
      <c r="D1125">
        <v>749724328</v>
      </c>
      <c r="E1125" t="s">
        <v>9</v>
      </c>
      <c r="F1125" s="1">
        <v>45608</v>
      </c>
      <c r="G1125" t="s">
        <v>624</v>
      </c>
      <c r="H1125" s="2">
        <v>1677.26</v>
      </c>
      <c r="I1125" t="s">
        <v>25</v>
      </c>
      <c r="J1125" t="s">
        <v>22</v>
      </c>
      <c r="K1125" t="s">
        <v>16</v>
      </c>
    </row>
    <row r="1126" spans="1:11" x14ac:dyDescent="0.25">
      <c r="A1126" t="s">
        <v>962</v>
      </c>
      <c r="B1126" t="s">
        <v>330</v>
      </c>
      <c r="C1126" t="s">
        <v>963</v>
      </c>
      <c r="D1126">
        <v>706401025</v>
      </c>
      <c r="E1126" t="s">
        <v>9</v>
      </c>
      <c r="F1126" s="1">
        <v>45666</v>
      </c>
      <c r="G1126" t="s">
        <v>423</v>
      </c>
      <c r="H1126" s="2">
        <v>1143.72</v>
      </c>
      <c r="I1126" t="s">
        <v>444</v>
      </c>
      <c r="J1126" t="s">
        <v>22</v>
      </c>
      <c r="K1126" t="s">
        <v>12</v>
      </c>
    </row>
    <row r="1127" spans="1:11" x14ac:dyDescent="0.25">
      <c r="A1127" t="s">
        <v>436</v>
      </c>
      <c r="B1127" t="s">
        <v>115</v>
      </c>
      <c r="C1127" t="s">
        <v>437</v>
      </c>
      <c r="D1127">
        <v>806023701</v>
      </c>
      <c r="E1127" t="s">
        <v>9</v>
      </c>
      <c r="F1127" s="1">
        <v>45277</v>
      </c>
      <c r="G1127" t="s">
        <v>10</v>
      </c>
      <c r="H1127" s="2">
        <v>1076.6300000000001</v>
      </c>
      <c r="I1127" t="s">
        <v>25</v>
      </c>
      <c r="J1127" t="s">
        <v>33</v>
      </c>
      <c r="K1127" t="s">
        <v>16</v>
      </c>
    </row>
    <row r="1128" spans="1:11" x14ac:dyDescent="0.25">
      <c r="A1128" t="s">
        <v>653</v>
      </c>
      <c r="B1128" t="s">
        <v>654</v>
      </c>
      <c r="C1128" t="s">
        <v>655</v>
      </c>
      <c r="D1128">
        <v>719370887</v>
      </c>
      <c r="E1128" t="s">
        <v>18</v>
      </c>
      <c r="F1128" s="1">
        <v>45318</v>
      </c>
      <c r="G1128" t="s">
        <v>475</v>
      </c>
      <c r="H1128" s="2">
        <v>1432.67</v>
      </c>
      <c r="I1128" t="s">
        <v>25</v>
      </c>
      <c r="J1128" t="s">
        <v>33</v>
      </c>
      <c r="K1128" t="s">
        <v>16</v>
      </c>
    </row>
    <row r="1129" spans="1:11" x14ac:dyDescent="0.25">
      <c r="A1129" t="s">
        <v>1394</v>
      </c>
      <c r="B1129" t="s">
        <v>112</v>
      </c>
      <c r="C1129" t="s">
        <v>1395</v>
      </c>
      <c r="D1129">
        <v>812915735</v>
      </c>
      <c r="E1129" t="s">
        <v>9</v>
      </c>
      <c r="F1129" s="1">
        <v>45885</v>
      </c>
      <c r="G1129" t="s">
        <v>423</v>
      </c>
      <c r="H1129" s="2">
        <v>479.16</v>
      </c>
      <c r="I1129" t="s">
        <v>444</v>
      </c>
      <c r="J1129" t="s">
        <v>22</v>
      </c>
      <c r="K1129" t="s">
        <v>12</v>
      </c>
    </row>
    <row r="1130" spans="1:11" x14ac:dyDescent="0.25">
      <c r="A1130" t="s">
        <v>1022</v>
      </c>
      <c r="B1130" t="s">
        <v>181</v>
      </c>
      <c r="C1130" t="s">
        <v>1023</v>
      </c>
      <c r="D1130">
        <v>711121687</v>
      </c>
      <c r="E1130" t="s">
        <v>18</v>
      </c>
      <c r="F1130" s="1">
        <v>45597</v>
      </c>
      <c r="G1130" t="s">
        <v>423</v>
      </c>
      <c r="H1130" s="2">
        <v>1674.32</v>
      </c>
      <c r="I1130" t="s">
        <v>25</v>
      </c>
      <c r="J1130" t="s">
        <v>33</v>
      </c>
      <c r="K1130" t="s">
        <v>12</v>
      </c>
    </row>
    <row r="1131" spans="1:11" x14ac:dyDescent="0.25">
      <c r="A1131" t="s">
        <v>616</v>
      </c>
      <c r="B1131" t="s">
        <v>17</v>
      </c>
      <c r="C1131" t="s">
        <v>617</v>
      </c>
      <c r="D1131">
        <v>802128905</v>
      </c>
      <c r="E1131" t="s">
        <v>9</v>
      </c>
      <c r="F1131" s="1">
        <v>45486</v>
      </c>
      <c r="G1131" t="s">
        <v>412</v>
      </c>
      <c r="H1131" s="2">
        <v>909.72</v>
      </c>
      <c r="I1131" t="s">
        <v>25</v>
      </c>
      <c r="J1131" t="s">
        <v>22</v>
      </c>
      <c r="K1131" t="s">
        <v>12</v>
      </c>
    </row>
    <row r="1132" spans="1:11" x14ac:dyDescent="0.25">
      <c r="A1132" t="s">
        <v>1416</v>
      </c>
      <c r="B1132" t="s">
        <v>220</v>
      </c>
      <c r="C1132" t="s">
        <v>1417</v>
      </c>
      <c r="D1132">
        <v>930961570</v>
      </c>
      <c r="E1132" t="s">
        <v>18</v>
      </c>
      <c r="F1132" s="1">
        <v>45776</v>
      </c>
      <c r="G1132" t="s">
        <v>21</v>
      </c>
      <c r="H1132" s="2">
        <v>1469.22</v>
      </c>
      <c r="I1132" t="s">
        <v>25</v>
      </c>
      <c r="J1132" t="s">
        <v>11</v>
      </c>
      <c r="K1132" t="s">
        <v>16</v>
      </c>
    </row>
    <row r="1133" spans="1:11" x14ac:dyDescent="0.25">
      <c r="A1133" t="s">
        <v>1062</v>
      </c>
      <c r="B1133" t="s">
        <v>258</v>
      </c>
      <c r="C1133" t="s">
        <v>1063</v>
      </c>
      <c r="D1133">
        <v>746921271</v>
      </c>
      <c r="E1133" t="s">
        <v>18</v>
      </c>
      <c r="F1133" s="1">
        <v>45756</v>
      </c>
      <c r="G1133" t="s">
        <v>19</v>
      </c>
      <c r="H1133" s="2">
        <v>1303.1099999999999</v>
      </c>
      <c r="I1133" t="s">
        <v>444</v>
      </c>
      <c r="J1133" t="s">
        <v>36</v>
      </c>
      <c r="K1133" t="s">
        <v>16</v>
      </c>
    </row>
    <row r="1134" spans="1:11" x14ac:dyDescent="0.25">
      <c r="A1134" t="s">
        <v>523</v>
      </c>
      <c r="B1134" t="s">
        <v>94</v>
      </c>
      <c r="C1134" t="s">
        <v>524</v>
      </c>
      <c r="D1134">
        <v>708646101</v>
      </c>
      <c r="E1134" t="s">
        <v>9</v>
      </c>
      <c r="F1134" s="1">
        <v>45469</v>
      </c>
      <c r="G1134" t="s">
        <v>412</v>
      </c>
      <c r="H1134" s="2">
        <v>870.65</v>
      </c>
      <c r="I1134" t="s">
        <v>25</v>
      </c>
      <c r="J1134" t="s">
        <v>33</v>
      </c>
      <c r="K1134" t="s">
        <v>16</v>
      </c>
    </row>
    <row r="1135" spans="1:11" x14ac:dyDescent="0.25">
      <c r="A1135" t="s">
        <v>512</v>
      </c>
      <c r="B1135" t="s">
        <v>188</v>
      </c>
      <c r="C1135" t="s">
        <v>513</v>
      </c>
      <c r="D1135">
        <v>739667567</v>
      </c>
      <c r="E1135" t="s">
        <v>9</v>
      </c>
      <c r="F1135" s="1">
        <v>45562</v>
      </c>
      <c r="G1135" t="s">
        <v>19</v>
      </c>
      <c r="H1135" s="2">
        <v>491.93</v>
      </c>
      <c r="I1135" t="s">
        <v>25</v>
      </c>
      <c r="J1135" t="s">
        <v>26</v>
      </c>
      <c r="K1135" t="s">
        <v>16</v>
      </c>
    </row>
    <row r="1136" spans="1:11" x14ac:dyDescent="0.25">
      <c r="A1136" t="s">
        <v>870</v>
      </c>
      <c r="B1136" t="s">
        <v>89</v>
      </c>
      <c r="C1136" t="s">
        <v>871</v>
      </c>
      <c r="D1136">
        <v>728307481</v>
      </c>
      <c r="E1136" t="s">
        <v>9</v>
      </c>
      <c r="F1136" s="1">
        <v>45220</v>
      </c>
      <c r="G1136" t="s">
        <v>14</v>
      </c>
      <c r="H1136" s="2">
        <v>1823.06</v>
      </c>
      <c r="I1136" t="s">
        <v>25</v>
      </c>
      <c r="J1136" t="s">
        <v>22</v>
      </c>
      <c r="K1136" t="s">
        <v>12</v>
      </c>
    </row>
    <row r="1137" spans="1:11" x14ac:dyDescent="0.25">
      <c r="A1137" t="s">
        <v>947</v>
      </c>
      <c r="B1137" t="s">
        <v>144</v>
      </c>
      <c r="C1137" t="s">
        <v>948</v>
      </c>
      <c r="D1137">
        <v>933910652</v>
      </c>
      <c r="E1137" t="s">
        <v>18</v>
      </c>
      <c r="F1137" s="1">
        <v>45350</v>
      </c>
      <c r="G1137" t="s">
        <v>440</v>
      </c>
      <c r="H1137" s="2">
        <v>174.15</v>
      </c>
      <c r="I1137" t="s">
        <v>25</v>
      </c>
      <c r="J1137" t="s">
        <v>11</v>
      </c>
      <c r="K1137" t="s">
        <v>12</v>
      </c>
    </row>
    <row r="1138" spans="1:11" x14ac:dyDescent="0.25">
      <c r="A1138" t="s">
        <v>1224</v>
      </c>
      <c r="B1138" t="s">
        <v>326</v>
      </c>
      <c r="C1138" t="s">
        <v>1225</v>
      </c>
      <c r="D1138">
        <v>748518150</v>
      </c>
      <c r="E1138" t="s">
        <v>18</v>
      </c>
      <c r="F1138" s="1">
        <v>45483</v>
      </c>
      <c r="G1138" t="s">
        <v>24</v>
      </c>
      <c r="H1138" s="2">
        <v>1187.3699999999999</v>
      </c>
      <c r="I1138" t="s">
        <v>25</v>
      </c>
      <c r="J1138" t="s">
        <v>33</v>
      </c>
      <c r="K1138" t="s">
        <v>12</v>
      </c>
    </row>
    <row r="1139" spans="1:11" x14ac:dyDescent="0.25">
      <c r="A1139" t="s">
        <v>649</v>
      </c>
      <c r="B1139" t="s">
        <v>23</v>
      </c>
      <c r="C1139" t="s">
        <v>650</v>
      </c>
      <c r="D1139">
        <v>681942999</v>
      </c>
      <c r="E1139" t="s">
        <v>9</v>
      </c>
      <c r="F1139" s="1">
        <v>45459</v>
      </c>
      <c r="G1139" t="s">
        <v>10</v>
      </c>
      <c r="H1139" s="2">
        <v>1969.97</v>
      </c>
      <c r="I1139" t="s">
        <v>25</v>
      </c>
      <c r="J1139" t="s">
        <v>11</v>
      </c>
      <c r="K1139" t="s">
        <v>12</v>
      </c>
    </row>
    <row r="1140" spans="1:11" x14ac:dyDescent="0.25">
      <c r="A1140" t="s">
        <v>719</v>
      </c>
      <c r="B1140" t="s">
        <v>190</v>
      </c>
      <c r="C1140" t="s">
        <v>720</v>
      </c>
      <c r="D1140">
        <v>742193948</v>
      </c>
      <c r="E1140" t="s">
        <v>9</v>
      </c>
      <c r="F1140" s="1">
        <v>45852</v>
      </c>
      <c r="G1140" t="s">
        <v>24</v>
      </c>
      <c r="H1140" s="2">
        <v>950.45</v>
      </c>
      <c r="I1140" t="s">
        <v>25</v>
      </c>
      <c r="J1140" t="s">
        <v>33</v>
      </c>
      <c r="K1140" t="s">
        <v>16</v>
      </c>
    </row>
    <row r="1141" spans="1:11" x14ac:dyDescent="0.25">
      <c r="A1141" t="s">
        <v>1263</v>
      </c>
      <c r="B1141" t="s">
        <v>130</v>
      </c>
      <c r="C1141" t="s">
        <v>1264</v>
      </c>
      <c r="D1141">
        <v>737928942</v>
      </c>
      <c r="E1141" t="s">
        <v>9</v>
      </c>
      <c r="F1141" s="1">
        <v>45884</v>
      </c>
      <c r="G1141" t="s">
        <v>418</v>
      </c>
      <c r="H1141" s="2">
        <v>626.16999999999996</v>
      </c>
      <c r="I1141" t="s">
        <v>25</v>
      </c>
      <c r="J1141" t="s">
        <v>26</v>
      </c>
      <c r="K1141" t="s">
        <v>16</v>
      </c>
    </row>
    <row r="1142" spans="1:11" x14ac:dyDescent="0.25">
      <c r="A1142" t="s">
        <v>1050</v>
      </c>
      <c r="B1142" t="s">
        <v>380</v>
      </c>
      <c r="C1142" t="s">
        <v>1051</v>
      </c>
      <c r="D1142">
        <v>724173510</v>
      </c>
      <c r="E1142" t="s">
        <v>9</v>
      </c>
      <c r="F1142" s="1">
        <v>45644</v>
      </c>
      <c r="G1142" t="s">
        <v>506</v>
      </c>
      <c r="H1142" s="2">
        <v>172.38</v>
      </c>
      <c r="I1142" t="s">
        <v>507</v>
      </c>
      <c r="J1142" t="s">
        <v>22</v>
      </c>
      <c r="K1142" t="s">
        <v>16</v>
      </c>
    </row>
    <row r="1143" spans="1:11" x14ac:dyDescent="0.25">
      <c r="A1143" t="s">
        <v>438</v>
      </c>
      <c r="B1143" t="s">
        <v>153</v>
      </c>
      <c r="C1143" t="s">
        <v>439</v>
      </c>
      <c r="D1143">
        <v>734311637</v>
      </c>
      <c r="E1143" t="s">
        <v>9</v>
      </c>
      <c r="F1143" s="1">
        <v>45347</v>
      </c>
      <c r="G1143" t="s">
        <v>440</v>
      </c>
      <c r="H1143" s="2">
        <v>1538.22</v>
      </c>
      <c r="I1143" t="s">
        <v>25</v>
      </c>
      <c r="J1143" t="s">
        <v>36</v>
      </c>
      <c r="K1143" t="s">
        <v>12</v>
      </c>
    </row>
    <row r="1144" spans="1:11" x14ac:dyDescent="0.25">
      <c r="A1144" t="s">
        <v>622</v>
      </c>
      <c r="B1144" t="s">
        <v>274</v>
      </c>
      <c r="C1144" t="s">
        <v>623</v>
      </c>
      <c r="D1144">
        <v>749724328</v>
      </c>
      <c r="E1144" t="s">
        <v>9</v>
      </c>
      <c r="F1144" s="1">
        <v>45551</v>
      </c>
      <c r="G1144" t="s">
        <v>624</v>
      </c>
      <c r="H1144" s="2">
        <v>1354.26</v>
      </c>
      <c r="I1144" t="s">
        <v>25</v>
      </c>
      <c r="J1144" t="s">
        <v>33</v>
      </c>
      <c r="K1144" t="s">
        <v>12</v>
      </c>
    </row>
    <row r="1145" spans="1:11" x14ac:dyDescent="0.25">
      <c r="A1145" t="s">
        <v>1402</v>
      </c>
      <c r="B1145" t="s">
        <v>145</v>
      </c>
      <c r="C1145" t="s">
        <v>1403</v>
      </c>
      <c r="D1145">
        <v>736243040</v>
      </c>
      <c r="E1145" t="s">
        <v>9</v>
      </c>
      <c r="F1145" s="1">
        <v>45781</v>
      </c>
      <c r="G1145" t="s">
        <v>24</v>
      </c>
      <c r="H1145" s="2">
        <v>1459.55</v>
      </c>
      <c r="I1145" t="s">
        <v>25</v>
      </c>
      <c r="J1145" t="s">
        <v>22</v>
      </c>
      <c r="K1145" t="s">
        <v>12</v>
      </c>
    </row>
    <row r="1146" spans="1:11" x14ac:dyDescent="0.25">
      <c r="A1146" t="s">
        <v>806</v>
      </c>
      <c r="B1146" t="s">
        <v>316</v>
      </c>
      <c r="C1146" t="s">
        <v>807</v>
      </c>
      <c r="D1146">
        <v>718849459</v>
      </c>
      <c r="E1146" t="s">
        <v>9</v>
      </c>
      <c r="F1146" s="1">
        <v>45563</v>
      </c>
      <c r="G1146" t="s">
        <v>506</v>
      </c>
      <c r="H1146" s="2">
        <v>692.54</v>
      </c>
      <c r="I1146" t="s">
        <v>507</v>
      </c>
      <c r="J1146" t="s">
        <v>22</v>
      </c>
      <c r="K1146" t="s">
        <v>16</v>
      </c>
    </row>
    <row r="1147" spans="1:11" x14ac:dyDescent="0.25">
      <c r="A1147" t="s">
        <v>1355</v>
      </c>
      <c r="B1147" t="s">
        <v>185</v>
      </c>
      <c r="C1147" t="s">
        <v>1356</v>
      </c>
      <c r="D1147">
        <v>717432836</v>
      </c>
      <c r="E1147" t="s">
        <v>9</v>
      </c>
      <c r="F1147" s="1">
        <v>45808</v>
      </c>
      <c r="G1147" t="s">
        <v>423</v>
      </c>
      <c r="H1147" s="2">
        <v>1007.95</v>
      </c>
      <c r="I1147" t="s">
        <v>25</v>
      </c>
      <c r="J1147" t="s">
        <v>22</v>
      </c>
      <c r="K1147" t="s">
        <v>12</v>
      </c>
    </row>
    <row r="1148" spans="1:11" x14ac:dyDescent="0.25">
      <c r="A1148" t="s">
        <v>1166</v>
      </c>
      <c r="B1148" t="s">
        <v>121</v>
      </c>
      <c r="C1148" t="s">
        <v>1167</v>
      </c>
      <c r="D1148">
        <v>701616066</v>
      </c>
      <c r="E1148" t="s">
        <v>9</v>
      </c>
      <c r="F1148" s="1">
        <v>45494</v>
      </c>
      <c r="G1148" t="s">
        <v>506</v>
      </c>
      <c r="H1148" s="2">
        <v>1911.6</v>
      </c>
      <c r="I1148" t="s">
        <v>25</v>
      </c>
      <c r="J1148" t="s">
        <v>33</v>
      </c>
      <c r="K1148" t="s">
        <v>16</v>
      </c>
    </row>
    <row r="1149" spans="1:11" x14ac:dyDescent="0.25">
      <c r="A1149" t="s">
        <v>549</v>
      </c>
      <c r="B1149" t="s">
        <v>183</v>
      </c>
      <c r="C1149" t="s">
        <v>550</v>
      </c>
      <c r="D1149">
        <v>948373777</v>
      </c>
      <c r="E1149" t="s">
        <v>9</v>
      </c>
      <c r="F1149" s="1">
        <v>45347</v>
      </c>
      <c r="G1149" t="s">
        <v>506</v>
      </c>
      <c r="H1149" s="2">
        <v>1423.87</v>
      </c>
      <c r="I1149" t="s">
        <v>25</v>
      </c>
      <c r="J1149" t="s">
        <v>15</v>
      </c>
      <c r="K1149" t="s">
        <v>12</v>
      </c>
    </row>
    <row r="1150" spans="1:11" x14ac:dyDescent="0.25">
      <c r="A1150" t="s">
        <v>476</v>
      </c>
      <c r="B1150" t="s">
        <v>170</v>
      </c>
      <c r="C1150" t="s">
        <v>477</v>
      </c>
      <c r="D1150">
        <v>982589898</v>
      </c>
      <c r="E1150" t="s">
        <v>18</v>
      </c>
      <c r="F1150" s="1">
        <v>45707</v>
      </c>
      <c r="G1150" t="s">
        <v>478</v>
      </c>
      <c r="H1150" s="2">
        <v>1706.09</v>
      </c>
      <c r="I1150" t="s">
        <v>25</v>
      </c>
      <c r="J1150" t="s">
        <v>36</v>
      </c>
      <c r="K1150" t="s">
        <v>12</v>
      </c>
    </row>
    <row r="1151" spans="1:11" x14ac:dyDescent="0.25">
      <c r="A1151" t="s">
        <v>1080</v>
      </c>
      <c r="B1151" t="s">
        <v>379</v>
      </c>
      <c r="C1151" t="s">
        <v>1081</v>
      </c>
      <c r="D1151">
        <v>615926523</v>
      </c>
      <c r="E1151" t="s">
        <v>9</v>
      </c>
      <c r="F1151" s="1">
        <v>45885</v>
      </c>
      <c r="G1151" t="s">
        <v>478</v>
      </c>
      <c r="H1151" s="2">
        <v>1491.27</v>
      </c>
      <c r="I1151" t="s">
        <v>507</v>
      </c>
      <c r="J1151" t="s">
        <v>22</v>
      </c>
      <c r="K1151" t="s">
        <v>12</v>
      </c>
    </row>
    <row r="1152" spans="1:11" x14ac:dyDescent="0.25">
      <c r="A1152" t="s">
        <v>1418</v>
      </c>
      <c r="B1152" t="s">
        <v>253</v>
      </c>
      <c r="C1152" t="s">
        <v>1419</v>
      </c>
      <c r="D1152">
        <v>925202711</v>
      </c>
      <c r="E1152" t="s">
        <v>18</v>
      </c>
      <c r="F1152" s="1">
        <v>45653</v>
      </c>
      <c r="G1152" t="s">
        <v>39</v>
      </c>
      <c r="H1152" s="2">
        <v>1928.83</v>
      </c>
      <c r="I1152" t="s">
        <v>25</v>
      </c>
      <c r="J1152" t="s">
        <v>26</v>
      </c>
      <c r="K1152" t="s">
        <v>16</v>
      </c>
    </row>
    <row r="1153" spans="1:11" x14ac:dyDescent="0.25">
      <c r="A1153" t="s">
        <v>436</v>
      </c>
      <c r="B1153" t="s">
        <v>115</v>
      </c>
      <c r="C1153" t="s">
        <v>437</v>
      </c>
      <c r="D1153">
        <v>806023701</v>
      </c>
      <c r="E1153" t="s">
        <v>9</v>
      </c>
      <c r="F1153" s="1">
        <v>45236</v>
      </c>
      <c r="G1153" t="s">
        <v>10</v>
      </c>
      <c r="H1153" s="2">
        <v>332.73</v>
      </c>
      <c r="I1153" t="s">
        <v>25</v>
      </c>
      <c r="J1153" t="s">
        <v>22</v>
      </c>
      <c r="K1153" t="s">
        <v>16</v>
      </c>
    </row>
    <row r="1154" spans="1:11" x14ac:dyDescent="0.25">
      <c r="A1154" t="s">
        <v>1420</v>
      </c>
      <c r="B1154" t="s">
        <v>126</v>
      </c>
      <c r="C1154" t="s">
        <v>1421</v>
      </c>
      <c r="D1154">
        <v>730037391</v>
      </c>
      <c r="E1154" t="s">
        <v>9</v>
      </c>
      <c r="F1154" s="1">
        <v>45355</v>
      </c>
      <c r="G1154" t="s">
        <v>440</v>
      </c>
      <c r="H1154" s="2">
        <v>1722.03</v>
      </c>
      <c r="I1154" t="s">
        <v>25</v>
      </c>
      <c r="J1154" t="s">
        <v>11</v>
      </c>
      <c r="K1154" t="s">
        <v>16</v>
      </c>
    </row>
    <row r="1155" spans="1:11" x14ac:dyDescent="0.25">
      <c r="A1155" t="s">
        <v>713</v>
      </c>
      <c r="B1155" t="s">
        <v>82</v>
      </c>
      <c r="C1155" t="s">
        <v>714</v>
      </c>
      <c r="D1155">
        <v>708352673</v>
      </c>
      <c r="E1155" t="s">
        <v>9</v>
      </c>
      <c r="F1155" s="1">
        <v>45887</v>
      </c>
      <c r="G1155" t="s">
        <v>14</v>
      </c>
      <c r="H1155" s="2">
        <v>1112.44</v>
      </c>
      <c r="I1155" t="s">
        <v>25</v>
      </c>
      <c r="J1155" t="s">
        <v>33</v>
      </c>
      <c r="K1155" t="s">
        <v>16</v>
      </c>
    </row>
    <row r="1156" spans="1:11" x14ac:dyDescent="0.25">
      <c r="A1156" t="s">
        <v>1422</v>
      </c>
      <c r="B1156" t="s">
        <v>214</v>
      </c>
      <c r="C1156" t="s">
        <v>1423</v>
      </c>
      <c r="D1156">
        <v>983007269</v>
      </c>
      <c r="E1156" t="s">
        <v>9</v>
      </c>
      <c r="F1156" s="1">
        <v>45874</v>
      </c>
      <c r="G1156" t="s">
        <v>35</v>
      </c>
      <c r="H1156" s="2">
        <v>183.84</v>
      </c>
      <c r="I1156" t="s">
        <v>25</v>
      </c>
      <c r="J1156" t="s">
        <v>33</v>
      </c>
      <c r="K1156" t="s">
        <v>16</v>
      </c>
    </row>
    <row r="1157" spans="1:11" x14ac:dyDescent="0.25">
      <c r="A1157" t="s">
        <v>1042</v>
      </c>
      <c r="B1157" t="s">
        <v>1043</v>
      </c>
      <c r="C1157" t="s">
        <v>1044</v>
      </c>
      <c r="D1157">
        <v>917893213</v>
      </c>
      <c r="E1157" t="s">
        <v>18</v>
      </c>
      <c r="F1157" s="1">
        <v>45785</v>
      </c>
      <c r="G1157" t="s">
        <v>440</v>
      </c>
      <c r="H1157" s="2">
        <v>1356.09</v>
      </c>
      <c r="I1157" t="s">
        <v>25</v>
      </c>
      <c r="J1157" t="s">
        <v>36</v>
      </c>
      <c r="K1157" t="s">
        <v>16</v>
      </c>
    </row>
    <row r="1158" spans="1:11" x14ac:dyDescent="0.25">
      <c r="A1158" t="s">
        <v>541</v>
      </c>
      <c r="B1158" t="s">
        <v>370</v>
      </c>
      <c r="C1158" t="s">
        <v>542</v>
      </c>
      <c r="D1158">
        <v>705986638</v>
      </c>
      <c r="E1158" t="s">
        <v>9</v>
      </c>
      <c r="F1158" s="1">
        <v>45891</v>
      </c>
      <c r="G1158" t="s">
        <v>47</v>
      </c>
      <c r="H1158" s="2">
        <v>1393.78</v>
      </c>
      <c r="I1158" t="s">
        <v>25</v>
      </c>
      <c r="J1158" t="s">
        <v>22</v>
      </c>
      <c r="K1158" t="s">
        <v>12</v>
      </c>
    </row>
    <row r="1159" spans="1:11" x14ac:dyDescent="0.25">
      <c r="A1159" t="s">
        <v>1180</v>
      </c>
      <c r="B1159" t="s">
        <v>246</v>
      </c>
      <c r="C1159" t="s">
        <v>1181</v>
      </c>
      <c r="D1159">
        <v>974043470</v>
      </c>
      <c r="E1159" t="s">
        <v>18</v>
      </c>
      <c r="F1159" s="1">
        <v>45881</v>
      </c>
      <c r="G1159" t="s">
        <v>415</v>
      </c>
      <c r="H1159" s="2">
        <v>869.21</v>
      </c>
      <c r="I1159" t="s">
        <v>25</v>
      </c>
      <c r="J1159" t="s">
        <v>36</v>
      </c>
      <c r="K1159" t="s">
        <v>12</v>
      </c>
    </row>
    <row r="1160" spans="1:11" x14ac:dyDescent="0.25">
      <c r="A1160" t="s">
        <v>1424</v>
      </c>
      <c r="B1160" t="s">
        <v>61</v>
      </c>
      <c r="C1160" t="s">
        <v>1425</v>
      </c>
      <c r="D1160">
        <v>629889888</v>
      </c>
      <c r="E1160" t="s">
        <v>9</v>
      </c>
      <c r="F1160" s="1">
        <v>45262</v>
      </c>
      <c r="G1160" t="s">
        <v>10</v>
      </c>
      <c r="H1160" s="2">
        <v>1765.99</v>
      </c>
      <c r="I1160" t="s">
        <v>25</v>
      </c>
      <c r="J1160" t="s">
        <v>26</v>
      </c>
      <c r="K1160" t="s">
        <v>16</v>
      </c>
    </row>
    <row r="1161" spans="1:11" x14ac:dyDescent="0.25">
      <c r="A1161" t="s">
        <v>1115</v>
      </c>
      <c r="B1161" t="s">
        <v>140</v>
      </c>
      <c r="C1161" t="s">
        <v>1116</v>
      </c>
      <c r="D1161">
        <v>827325070</v>
      </c>
      <c r="E1161" t="s">
        <v>9</v>
      </c>
      <c r="F1161" s="1">
        <v>45202</v>
      </c>
      <c r="G1161" t="s">
        <v>10</v>
      </c>
      <c r="H1161" s="2">
        <v>1767.17</v>
      </c>
      <c r="I1161" t="s">
        <v>444</v>
      </c>
      <c r="J1161" t="s">
        <v>36</v>
      </c>
      <c r="K1161" t="s">
        <v>16</v>
      </c>
    </row>
    <row r="1162" spans="1:11" x14ac:dyDescent="0.25">
      <c r="A1162" t="s">
        <v>591</v>
      </c>
      <c r="B1162" t="s">
        <v>170</v>
      </c>
      <c r="C1162" t="s">
        <v>592</v>
      </c>
      <c r="D1162">
        <v>859697886</v>
      </c>
      <c r="E1162" t="s">
        <v>9</v>
      </c>
      <c r="F1162" s="1">
        <v>45624</v>
      </c>
      <c r="G1162" t="s">
        <v>460</v>
      </c>
      <c r="H1162" s="2">
        <v>657.45</v>
      </c>
      <c r="I1162" t="s">
        <v>25</v>
      </c>
      <c r="J1162" t="s">
        <v>33</v>
      </c>
      <c r="K1162" t="s">
        <v>12</v>
      </c>
    </row>
    <row r="1163" spans="1:11" x14ac:dyDescent="0.25">
      <c r="A1163" t="s">
        <v>1290</v>
      </c>
      <c r="B1163" t="s">
        <v>256</v>
      </c>
      <c r="C1163" t="s">
        <v>1291</v>
      </c>
      <c r="D1163">
        <v>924230623</v>
      </c>
      <c r="E1163" t="s">
        <v>9</v>
      </c>
      <c r="F1163" s="1">
        <v>45382</v>
      </c>
      <c r="G1163" t="s">
        <v>506</v>
      </c>
      <c r="H1163" s="2">
        <v>1546.55</v>
      </c>
      <c r="I1163" t="s">
        <v>25</v>
      </c>
      <c r="J1163" t="s">
        <v>26</v>
      </c>
      <c r="K1163" t="s">
        <v>12</v>
      </c>
    </row>
    <row r="1164" spans="1:11" x14ac:dyDescent="0.25">
      <c r="A1164" t="s">
        <v>1286</v>
      </c>
      <c r="B1164" t="s">
        <v>27</v>
      </c>
      <c r="C1164" t="s">
        <v>1287</v>
      </c>
      <c r="D1164">
        <v>745334445</v>
      </c>
      <c r="E1164" t="s">
        <v>18</v>
      </c>
      <c r="F1164" s="1">
        <v>45796</v>
      </c>
      <c r="G1164" t="s">
        <v>47</v>
      </c>
      <c r="H1164" s="2">
        <v>1726.83</v>
      </c>
      <c r="I1164" t="s">
        <v>25</v>
      </c>
      <c r="J1164" t="s">
        <v>26</v>
      </c>
      <c r="K1164" t="s">
        <v>12</v>
      </c>
    </row>
    <row r="1165" spans="1:11" x14ac:dyDescent="0.25">
      <c r="A1165" t="s">
        <v>1426</v>
      </c>
      <c r="B1165" t="s">
        <v>351</v>
      </c>
      <c r="C1165" t="s">
        <v>1427</v>
      </c>
      <c r="D1165">
        <v>737735132</v>
      </c>
      <c r="E1165" t="s">
        <v>9</v>
      </c>
      <c r="F1165" s="1">
        <v>45528</v>
      </c>
      <c r="G1165" t="s">
        <v>451</v>
      </c>
      <c r="H1165" s="2">
        <v>512.97</v>
      </c>
      <c r="I1165" t="s">
        <v>25</v>
      </c>
      <c r="J1165" t="s">
        <v>22</v>
      </c>
      <c r="K1165" t="s">
        <v>12</v>
      </c>
    </row>
    <row r="1166" spans="1:11" x14ac:dyDescent="0.25">
      <c r="A1166" t="s">
        <v>533</v>
      </c>
      <c r="B1166" t="s">
        <v>77</v>
      </c>
      <c r="C1166" t="s">
        <v>534</v>
      </c>
      <c r="D1166">
        <v>743862708</v>
      </c>
      <c r="E1166" t="s">
        <v>9</v>
      </c>
      <c r="F1166" s="1">
        <v>45864</v>
      </c>
      <c r="G1166" t="s">
        <v>443</v>
      </c>
      <c r="H1166" s="2">
        <v>504.46</v>
      </c>
      <c r="I1166" t="s">
        <v>444</v>
      </c>
      <c r="J1166" t="s">
        <v>36</v>
      </c>
      <c r="K1166" t="s">
        <v>12</v>
      </c>
    </row>
    <row r="1167" spans="1:11" x14ac:dyDescent="0.25">
      <c r="A1167" t="s">
        <v>500</v>
      </c>
      <c r="B1167" t="s">
        <v>158</v>
      </c>
      <c r="C1167" t="s">
        <v>501</v>
      </c>
      <c r="D1167">
        <v>700258650</v>
      </c>
      <c r="E1167" t="s">
        <v>9</v>
      </c>
      <c r="F1167" s="1">
        <v>45476</v>
      </c>
      <c r="G1167" t="s">
        <v>412</v>
      </c>
      <c r="H1167" s="2">
        <v>1726.97</v>
      </c>
      <c r="I1167" t="s">
        <v>25</v>
      </c>
      <c r="J1167" t="s">
        <v>22</v>
      </c>
      <c r="K1167" t="s">
        <v>12</v>
      </c>
    </row>
    <row r="1168" spans="1:11" x14ac:dyDescent="0.25">
      <c r="A1168" t="s">
        <v>1428</v>
      </c>
      <c r="B1168" t="s">
        <v>407</v>
      </c>
      <c r="C1168" t="s">
        <v>1429</v>
      </c>
      <c r="D1168">
        <v>983839916</v>
      </c>
      <c r="E1168" t="s">
        <v>18</v>
      </c>
      <c r="F1168" s="1">
        <v>45859</v>
      </c>
      <c r="G1168" t="s">
        <v>24</v>
      </c>
      <c r="H1168" s="2">
        <v>504.1</v>
      </c>
      <c r="I1168" t="s">
        <v>25</v>
      </c>
      <c r="J1168" t="s">
        <v>11</v>
      </c>
      <c r="K1168" t="s">
        <v>12</v>
      </c>
    </row>
    <row r="1169" spans="1:11" x14ac:dyDescent="0.25">
      <c r="A1169" t="s">
        <v>1430</v>
      </c>
      <c r="B1169" t="s">
        <v>136</v>
      </c>
      <c r="C1169" t="s">
        <v>1431</v>
      </c>
      <c r="D1169">
        <v>742937944</v>
      </c>
      <c r="E1169" t="s">
        <v>9</v>
      </c>
      <c r="F1169" s="1">
        <v>45513</v>
      </c>
      <c r="G1169" t="s">
        <v>460</v>
      </c>
      <c r="H1169" s="2">
        <v>304.95</v>
      </c>
      <c r="I1169" t="s">
        <v>25</v>
      </c>
      <c r="J1169" t="s">
        <v>22</v>
      </c>
      <c r="K1169" t="s">
        <v>16</v>
      </c>
    </row>
    <row r="1170" spans="1:11" x14ac:dyDescent="0.25">
      <c r="A1170" t="s">
        <v>1408</v>
      </c>
      <c r="B1170" t="s">
        <v>325</v>
      </c>
      <c r="C1170" t="s">
        <v>1409</v>
      </c>
      <c r="D1170">
        <v>879657385</v>
      </c>
      <c r="E1170" t="s">
        <v>9</v>
      </c>
      <c r="F1170" s="1">
        <v>45410</v>
      </c>
      <c r="G1170" t="s">
        <v>39</v>
      </c>
      <c r="H1170" s="2">
        <v>1004.82</v>
      </c>
      <c r="I1170" t="s">
        <v>25</v>
      </c>
      <c r="J1170" t="s">
        <v>22</v>
      </c>
      <c r="K1170" t="s">
        <v>16</v>
      </c>
    </row>
    <row r="1171" spans="1:11" x14ac:dyDescent="0.25">
      <c r="A1171" t="s">
        <v>1346</v>
      </c>
      <c r="B1171" t="s">
        <v>1347</v>
      </c>
      <c r="C1171" t="s">
        <v>1348</v>
      </c>
      <c r="D1171">
        <v>651807606</v>
      </c>
      <c r="E1171" t="s">
        <v>18</v>
      </c>
      <c r="F1171" s="1">
        <v>45875</v>
      </c>
      <c r="G1171" t="s">
        <v>47</v>
      </c>
      <c r="H1171" s="2">
        <v>846.49</v>
      </c>
      <c r="I1171" t="s">
        <v>507</v>
      </c>
      <c r="J1171" t="s">
        <v>36</v>
      </c>
      <c r="K1171" t="s">
        <v>12</v>
      </c>
    </row>
    <row r="1172" spans="1:11" x14ac:dyDescent="0.25">
      <c r="A1172" t="s">
        <v>1432</v>
      </c>
      <c r="B1172" t="s">
        <v>291</v>
      </c>
      <c r="C1172" t="s">
        <v>1433</v>
      </c>
      <c r="D1172">
        <v>724781608</v>
      </c>
      <c r="E1172" t="s">
        <v>9</v>
      </c>
      <c r="F1172" s="1">
        <v>45186</v>
      </c>
      <c r="G1172" t="s">
        <v>35</v>
      </c>
      <c r="H1172" s="2">
        <v>1166.8499999999999</v>
      </c>
      <c r="I1172" t="s">
        <v>25</v>
      </c>
      <c r="J1172" t="s">
        <v>11</v>
      </c>
      <c r="K1172" t="s">
        <v>12</v>
      </c>
    </row>
    <row r="1173" spans="1:11" x14ac:dyDescent="0.25">
      <c r="A1173" t="s">
        <v>881</v>
      </c>
      <c r="B1173" t="s">
        <v>123</v>
      </c>
      <c r="C1173" t="s">
        <v>882</v>
      </c>
      <c r="D1173">
        <v>728581458</v>
      </c>
      <c r="E1173" t="s">
        <v>9</v>
      </c>
      <c r="F1173" s="1">
        <v>45548</v>
      </c>
      <c r="G1173" t="s">
        <v>35</v>
      </c>
      <c r="H1173" s="2">
        <v>540.30999999999995</v>
      </c>
      <c r="I1173" t="s">
        <v>25</v>
      </c>
      <c r="J1173" t="s">
        <v>22</v>
      </c>
      <c r="K1173" t="s">
        <v>16</v>
      </c>
    </row>
    <row r="1174" spans="1:11" x14ac:dyDescent="0.25">
      <c r="A1174" t="s">
        <v>1434</v>
      </c>
      <c r="B1174" t="s">
        <v>252</v>
      </c>
      <c r="C1174" t="s">
        <v>1435</v>
      </c>
      <c r="D1174">
        <v>706544642</v>
      </c>
      <c r="E1174" t="s">
        <v>18</v>
      </c>
      <c r="F1174" s="1">
        <v>45612</v>
      </c>
      <c r="G1174" t="s">
        <v>518</v>
      </c>
      <c r="H1174" s="2">
        <v>1033.3599999999999</v>
      </c>
      <c r="I1174" t="s">
        <v>25</v>
      </c>
      <c r="J1174" t="s">
        <v>11</v>
      </c>
      <c r="K1174" t="s">
        <v>16</v>
      </c>
    </row>
    <row r="1175" spans="1:11" x14ac:dyDescent="0.25">
      <c r="A1175" t="s">
        <v>1426</v>
      </c>
      <c r="B1175" t="s">
        <v>351</v>
      </c>
      <c r="C1175" t="s">
        <v>1427</v>
      </c>
      <c r="D1175">
        <v>737735132</v>
      </c>
      <c r="E1175" t="s">
        <v>9</v>
      </c>
      <c r="F1175" s="1">
        <v>45829</v>
      </c>
      <c r="G1175" t="s">
        <v>451</v>
      </c>
      <c r="H1175" s="2">
        <v>1963.02</v>
      </c>
      <c r="I1175" t="s">
        <v>25</v>
      </c>
      <c r="J1175" t="s">
        <v>11</v>
      </c>
      <c r="K1175" t="s">
        <v>16</v>
      </c>
    </row>
    <row r="1176" spans="1:11" x14ac:dyDescent="0.25">
      <c r="A1176" t="s">
        <v>835</v>
      </c>
      <c r="B1176" t="s">
        <v>83</v>
      </c>
      <c r="C1176" t="s">
        <v>836</v>
      </c>
      <c r="D1176">
        <v>720195198</v>
      </c>
      <c r="E1176" t="s">
        <v>18</v>
      </c>
      <c r="F1176" s="1">
        <v>45765</v>
      </c>
      <c r="G1176" t="s">
        <v>518</v>
      </c>
      <c r="H1176" s="2">
        <v>1192.4100000000001</v>
      </c>
      <c r="I1176" t="s">
        <v>444</v>
      </c>
      <c r="J1176" t="s">
        <v>11</v>
      </c>
      <c r="K1176" t="s">
        <v>12</v>
      </c>
    </row>
    <row r="1177" spans="1:11" x14ac:dyDescent="0.25">
      <c r="A1177" t="s">
        <v>1436</v>
      </c>
      <c r="B1177" t="s">
        <v>103</v>
      </c>
      <c r="C1177" t="s">
        <v>1437</v>
      </c>
      <c r="D1177">
        <v>725166782</v>
      </c>
      <c r="E1177" t="s">
        <v>9</v>
      </c>
      <c r="F1177" s="1">
        <v>45359</v>
      </c>
      <c r="G1177" t="s">
        <v>47</v>
      </c>
      <c r="H1177" s="2">
        <v>908.1</v>
      </c>
      <c r="I1177" t="s">
        <v>507</v>
      </c>
      <c r="J1177" t="s">
        <v>36</v>
      </c>
      <c r="K1177" t="s">
        <v>12</v>
      </c>
    </row>
    <row r="1178" spans="1:11" x14ac:dyDescent="0.25">
      <c r="A1178" t="s">
        <v>492</v>
      </c>
      <c r="B1178" t="s">
        <v>312</v>
      </c>
      <c r="C1178" t="s">
        <v>493</v>
      </c>
      <c r="D1178">
        <v>888046669</v>
      </c>
      <c r="E1178" t="s">
        <v>18</v>
      </c>
      <c r="F1178" s="1">
        <v>45297</v>
      </c>
      <c r="G1178" t="s">
        <v>443</v>
      </c>
      <c r="H1178" s="2">
        <v>640.01</v>
      </c>
      <c r="I1178" t="s">
        <v>25</v>
      </c>
      <c r="J1178" t="s">
        <v>33</v>
      </c>
      <c r="K1178" t="s">
        <v>12</v>
      </c>
    </row>
    <row r="1179" spans="1:11" x14ac:dyDescent="0.25">
      <c r="A1179" t="s">
        <v>1022</v>
      </c>
      <c r="B1179" t="s">
        <v>181</v>
      </c>
      <c r="C1179" t="s">
        <v>1023</v>
      </c>
      <c r="D1179">
        <v>711121687</v>
      </c>
      <c r="E1179" t="s">
        <v>18</v>
      </c>
      <c r="F1179" s="1">
        <v>45770</v>
      </c>
      <c r="G1179" t="s">
        <v>423</v>
      </c>
      <c r="H1179" s="2">
        <v>301.73</v>
      </c>
      <c r="I1179" t="s">
        <v>444</v>
      </c>
      <c r="J1179" t="s">
        <v>26</v>
      </c>
      <c r="K1179" t="s">
        <v>12</v>
      </c>
    </row>
    <row r="1180" spans="1:11" x14ac:dyDescent="0.25">
      <c r="A1180" t="s">
        <v>970</v>
      </c>
      <c r="B1180" t="s">
        <v>289</v>
      </c>
      <c r="C1180" t="s">
        <v>971</v>
      </c>
      <c r="D1180">
        <v>804914249</v>
      </c>
      <c r="E1180" t="s">
        <v>9</v>
      </c>
      <c r="F1180" s="1">
        <v>45460</v>
      </c>
      <c r="G1180" t="s">
        <v>418</v>
      </c>
      <c r="H1180" s="2">
        <v>1645.79</v>
      </c>
      <c r="I1180" t="s">
        <v>25</v>
      </c>
      <c r="J1180" t="s">
        <v>36</v>
      </c>
      <c r="K1180" t="s">
        <v>12</v>
      </c>
    </row>
    <row r="1181" spans="1:11" x14ac:dyDescent="0.25">
      <c r="A1181" t="s">
        <v>1321</v>
      </c>
      <c r="B1181" t="s">
        <v>122</v>
      </c>
      <c r="C1181" t="s">
        <v>1322</v>
      </c>
      <c r="D1181">
        <v>809782522</v>
      </c>
      <c r="E1181" t="s">
        <v>9</v>
      </c>
      <c r="F1181" s="1">
        <v>45295</v>
      </c>
      <c r="G1181" t="s">
        <v>412</v>
      </c>
      <c r="H1181" s="2">
        <v>1150.45</v>
      </c>
      <c r="I1181" t="s">
        <v>25</v>
      </c>
      <c r="J1181" t="s">
        <v>22</v>
      </c>
      <c r="K1181" t="s">
        <v>16</v>
      </c>
    </row>
    <row r="1182" spans="1:11" x14ac:dyDescent="0.25">
      <c r="A1182" t="s">
        <v>514</v>
      </c>
      <c r="B1182" t="s">
        <v>292</v>
      </c>
      <c r="C1182" t="s">
        <v>515</v>
      </c>
      <c r="D1182">
        <v>726799934</v>
      </c>
      <c r="E1182" t="s">
        <v>18</v>
      </c>
      <c r="F1182" s="1">
        <v>45764</v>
      </c>
      <c r="G1182" t="s">
        <v>440</v>
      </c>
      <c r="H1182" s="2">
        <v>1978.43</v>
      </c>
      <c r="I1182" t="s">
        <v>25</v>
      </c>
      <c r="J1182" t="s">
        <v>11</v>
      </c>
      <c r="K1182" t="s">
        <v>16</v>
      </c>
    </row>
    <row r="1183" spans="1:11" x14ac:dyDescent="0.25">
      <c r="A1183" t="s">
        <v>1030</v>
      </c>
      <c r="B1183" t="s">
        <v>253</v>
      </c>
      <c r="C1183" t="s">
        <v>1031</v>
      </c>
      <c r="D1183">
        <v>921591687</v>
      </c>
      <c r="E1183" t="s">
        <v>9</v>
      </c>
      <c r="F1183" s="1">
        <v>45478</v>
      </c>
      <c r="G1183" t="s">
        <v>415</v>
      </c>
      <c r="H1183" s="2">
        <v>1242.26</v>
      </c>
      <c r="I1183" t="s">
        <v>25</v>
      </c>
      <c r="J1183" t="s">
        <v>11</v>
      </c>
      <c r="K1183" t="s">
        <v>16</v>
      </c>
    </row>
    <row r="1184" spans="1:11" x14ac:dyDescent="0.25">
      <c r="A1184" t="s">
        <v>894</v>
      </c>
      <c r="B1184" t="s">
        <v>895</v>
      </c>
      <c r="C1184" t="s">
        <v>896</v>
      </c>
      <c r="D1184">
        <v>748416256</v>
      </c>
      <c r="E1184" t="s">
        <v>9</v>
      </c>
      <c r="F1184" s="1">
        <v>45185</v>
      </c>
      <c r="G1184" t="s">
        <v>418</v>
      </c>
      <c r="H1184" s="2">
        <v>1641.62</v>
      </c>
      <c r="I1184" t="s">
        <v>25</v>
      </c>
      <c r="J1184" t="s">
        <v>22</v>
      </c>
      <c r="K1184" t="s">
        <v>16</v>
      </c>
    </row>
    <row r="1185" spans="1:11" x14ac:dyDescent="0.25">
      <c r="A1185" t="s">
        <v>647</v>
      </c>
      <c r="B1185" t="s">
        <v>225</v>
      </c>
      <c r="C1185" t="s">
        <v>648</v>
      </c>
      <c r="D1185">
        <v>979540496</v>
      </c>
      <c r="E1185" t="s">
        <v>9</v>
      </c>
      <c r="F1185" s="1">
        <v>45232</v>
      </c>
      <c r="G1185" t="s">
        <v>423</v>
      </c>
      <c r="H1185" s="2">
        <v>242.57</v>
      </c>
      <c r="I1185" t="s">
        <v>25</v>
      </c>
      <c r="J1185" t="s">
        <v>22</v>
      </c>
      <c r="K1185" t="s">
        <v>16</v>
      </c>
    </row>
    <row r="1186" spans="1:11" x14ac:dyDescent="0.25">
      <c r="A1186" t="s">
        <v>725</v>
      </c>
      <c r="B1186" t="s">
        <v>145</v>
      </c>
      <c r="C1186" t="s">
        <v>726</v>
      </c>
      <c r="D1186">
        <v>735567153</v>
      </c>
      <c r="E1186" t="s">
        <v>9</v>
      </c>
      <c r="F1186" s="1">
        <v>45254</v>
      </c>
      <c r="G1186" t="s">
        <v>460</v>
      </c>
      <c r="H1186" s="2">
        <v>1228.45</v>
      </c>
      <c r="I1186" t="s">
        <v>25</v>
      </c>
      <c r="J1186" t="s">
        <v>22</v>
      </c>
      <c r="K1186" t="s">
        <v>12</v>
      </c>
    </row>
    <row r="1187" spans="1:11" x14ac:dyDescent="0.25">
      <c r="A1187" t="s">
        <v>1213</v>
      </c>
      <c r="B1187" t="s">
        <v>284</v>
      </c>
      <c r="C1187" t="s">
        <v>1214</v>
      </c>
      <c r="D1187">
        <v>701336805</v>
      </c>
      <c r="E1187" t="s">
        <v>18</v>
      </c>
      <c r="F1187" s="1">
        <v>45415</v>
      </c>
      <c r="G1187" t="s">
        <v>21</v>
      </c>
      <c r="H1187" s="2">
        <v>929.73</v>
      </c>
      <c r="I1187" t="s">
        <v>25</v>
      </c>
      <c r="J1187" t="s">
        <v>11</v>
      </c>
      <c r="K1187" t="s">
        <v>12</v>
      </c>
    </row>
    <row r="1188" spans="1:11" x14ac:dyDescent="0.25">
      <c r="A1188" t="s">
        <v>749</v>
      </c>
      <c r="B1188" t="s">
        <v>750</v>
      </c>
      <c r="C1188" t="s">
        <v>751</v>
      </c>
      <c r="D1188">
        <v>703436635</v>
      </c>
      <c r="E1188" t="s">
        <v>9</v>
      </c>
      <c r="F1188" s="1">
        <v>45812</v>
      </c>
      <c r="G1188" t="s">
        <v>506</v>
      </c>
      <c r="H1188" s="2">
        <v>1834.28</v>
      </c>
      <c r="I1188" t="s">
        <v>25</v>
      </c>
      <c r="J1188" t="s">
        <v>33</v>
      </c>
      <c r="K1188" t="s">
        <v>12</v>
      </c>
    </row>
    <row r="1189" spans="1:11" x14ac:dyDescent="0.25">
      <c r="A1189" t="s">
        <v>962</v>
      </c>
      <c r="B1189" t="s">
        <v>330</v>
      </c>
      <c r="C1189" t="s">
        <v>963</v>
      </c>
      <c r="D1189">
        <v>706401025</v>
      </c>
      <c r="E1189" t="s">
        <v>9</v>
      </c>
      <c r="F1189" s="1">
        <v>45666</v>
      </c>
      <c r="G1189" t="s">
        <v>423</v>
      </c>
      <c r="H1189" s="2">
        <v>1740.8</v>
      </c>
      <c r="I1189" t="s">
        <v>25</v>
      </c>
      <c r="J1189" t="s">
        <v>22</v>
      </c>
      <c r="K1189" t="s">
        <v>12</v>
      </c>
    </row>
    <row r="1190" spans="1:11" x14ac:dyDescent="0.25">
      <c r="A1190" t="s">
        <v>1010</v>
      </c>
      <c r="B1190" t="s">
        <v>405</v>
      </c>
      <c r="C1190" t="s">
        <v>1011</v>
      </c>
      <c r="D1190">
        <v>988674084</v>
      </c>
      <c r="E1190" t="s">
        <v>9</v>
      </c>
      <c r="F1190" s="1">
        <v>45654</v>
      </c>
      <c r="G1190" t="s">
        <v>14</v>
      </c>
      <c r="H1190" s="2">
        <v>461.1</v>
      </c>
      <c r="I1190" t="s">
        <v>25</v>
      </c>
      <c r="J1190" t="s">
        <v>26</v>
      </c>
      <c r="K1190" t="s">
        <v>16</v>
      </c>
    </row>
    <row r="1191" spans="1:11" x14ac:dyDescent="0.25">
      <c r="A1191" t="s">
        <v>883</v>
      </c>
      <c r="B1191" t="s">
        <v>335</v>
      </c>
      <c r="C1191" t="s">
        <v>884</v>
      </c>
      <c r="D1191">
        <v>707057282</v>
      </c>
      <c r="E1191" t="s">
        <v>13</v>
      </c>
      <c r="F1191" s="1">
        <v>45747</v>
      </c>
      <c r="G1191" t="s">
        <v>24</v>
      </c>
      <c r="H1191" s="2">
        <v>904.8</v>
      </c>
      <c r="I1191" t="s">
        <v>25</v>
      </c>
      <c r="J1191" t="s">
        <v>22</v>
      </c>
      <c r="K1191" t="s">
        <v>12</v>
      </c>
    </row>
    <row r="1192" spans="1:11" x14ac:dyDescent="0.25">
      <c r="A1192" t="s">
        <v>996</v>
      </c>
      <c r="B1192" t="s">
        <v>344</v>
      </c>
      <c r="C1192" t="s">
        <v>997</v>
      </c>
      <c r="D1192">
        <v>919457468</v>
      </c>
      <c r="E1192" t="s">
        <v>9</v>
      </c>
      <c r="F1192" s="1">
        <v>45560</v>
      </c>
      <c r="G1192" t="s">
        <v>47</v>
      </c>
      <c r="H1192" s="2">
        <v>1615.53</v>
      </c>
      <c r="I1192" t="s">
        <v>25</v>
      </c>
      <c r="J1192" t="s">
        <v>33</v>
      </c>
      <c r="K1192" t="s">
        <v>12</v>
      </c>
    </row>
    <row r="1193" spans="1:11" x14ac:dyDescent="0.25">
      <c r="A1193" t="s">
        <v>988</v>
      </c>
      <c r="B1193" t="s">
        <v>131</v>
      </c>
      <c r="C1193" t="s">
        <v>989</v>
      </c>
      <c r="D1193">
        <v>975321341</v>
      </c>
      <c r="E1193" t="s">
        <v>9</v>
      </c>
      <c r="F1193" s="1">
        <v>45812</v>
      </c>
      <c r="G1193" t="s">
        <v>451</v>
      </c>
      <c r="H1193" s="2">
        <v>1675.81</v>
      </c>
      <c r="I1193" t="s">
        <v>25</v>
      </c>
      <c r="J1193" t="s">
        <v>11</v>
      </c>
      <c r="K1193" t="s">
        <v>16</v>
      </c>
    </row>
    <row r="1194" spans="1:11" x14ac:dyDescent="0.25">
      <c r="A1194" t="s">
        <v>1259</v>
      </c>
      <c r="B1194" t="s">
        <v>76</v>
      </c>
      <c r="C1194" t="s">
        <v>1260</v>
      </c>
      <c r="D1194">
        <v>942844383</v>
      </c>
      <c r="E1194" t="s">
        <v>9</v>
      </c>
      <c r="F1194" s="1">
        <v>45609</v>
      </c>
      <c r="G1194" t="s">
        <v>32</v>
      </c>
      <c r="H1194" s="2">
        <v>1875.67</v>
      </c>
      <c r="I1194" t="s">
        <v>444</v>
      </c>
      <c r="J1194" t="s">
        <v>22</v>
      </c>
      <c r="K1194" t="s">
        <v>16</v>
      </c>
    </row>
    <row r="1195" spans="1:11" x14ac:dyDescent="0.25">
      <c r="A1195" t="s">
        <v>960</v>
      </c>
      <c r="B1195" t="s">
        <v>266</v>
      </c>
      <c r="C1195" t="s">
        <v>961</v>
      </c>
      <c r="D1195">
        <v>854810022</v>
      </c>
      <c r="E1195" t="s">
        <v>18</v>
      </c>
      <c r="F1195" s="1">
        <v>45900</v>
      </c>
      <c r="G1195" t="s">
        <v>460</v>
      </c>
      <c r="H1195" s="2">
        <v>431.29</v>
      </c>
      <c r="I1195" t="s">
        <v>507</v>
      </c>
      <c r="J1195" t="s">
        <v>11</v>
      </c>
      <c r="K1195" t="s">
        <v>12</v>
      </c>
    </row>
    <row r="1196" spans="1:11" x14ac:dyDescent="0.25">
      <c r="A1196" t="s">
        <v>627</v>
      </c>
      <c r="B1196" t="s">
        <v>58</v>
      </c>
      <c r="C1196" t="s">
        <v>628</v>
      </c>
      <c r="D1196">
        <v>970397357</v>
      </c>
      <c r="E1196" t="s">
        <v>18</v>
      </c>
      <c r="F1196" s="1">
        <v>45346</v>
      </c>
      <c r="G1196" t="s">
        <v>418</v>
      </c>
      <c r="H1196" s="2">
        <v>1543.68</v>
      </c>
      <c r="I1196" t="s">
        <v>25</v>
      </c>
      <c r="J1196" t="s">
        <v>11</v>
      </c>
      <c r="K1196" t="s">
        <v>16</v>
      </c>
    </row>
    <row r="1197" spans="1:11" x14ac:dyDescent="0.25">
      <c r="A1197" t="s">
        <v>851</v>
      </c>
      <c r="B1197" t="s">
        <v>127</v>
      </c>
      <c r="C1197" t="s">
        <v>852</v>
      </c>
      <c r="D1197">
        <v>732119992</v>
      </c>
      <c r="E1197" t="s">
        <v>9</v>
      </c>
      <c r="F1197" s="1">
        <v>45636</v>
      </c>
      <c r="G1197" t="s">
        <v>423</v>
      </c>
      <c r="H1197" s="2">
        <v>1345.58</v>
      </c>
      <c r="I1197" t="s">
        <v>25</v>
      </c>
      <c r="J1197" t="s">
        <v>22</v>
      </c>
      <c r="K1197" t="s">
        <v>12</v>
      </c>
    </row>
    <row r="1198" spans="1:11" x14ac:dyDescent="0.25">
      <c r="A1198" t="s">
        <v>421</v>
      </c>
      <c r="B1198" t="s">
        <v>336</v>
      </c>
      <c r="C1198" t="s">
        <v>422</v>
      </c>
      <c r="D1198">
        <v>722114878</v>
      </c>
      <c r="E1198" t="s">
        <v>9</v>
      </c>
      <c r="F1198" s="1">
        <v>45400</v>
      </c>
      <c r="G1198" t="s">
        <v>423</v>
      </c>
      <c r="H1198" s="2">
        <v>955.13</v>
      </c>
      <c r="I1198" t="s">
        <v>25</v>
      </c>
      <c r="J1198" t="s">
        <v>33</v>
      </c>
      <c r="K1198" t="s">
        <v>16</v>
      </c>
    </row>
    <row r="1199" spans="1:11" x14ac:dyDescent="0.25">
      <c r="A1199" t="s">
        <v>758</v>
      </c>
      <c r="B1199" t="s">
        <v>209</v>
      </c>
      <c r="C1199" t="s">
        <v>759</v>
      </c>
      <c r="D1199">
        <v>707823231</v>
      </c>
      <c r="E1199" t="s">
        <v>13</v>
      </c>
      <c r="F1199" s="1">
        <v>45809</v>
      </c>
      <c r="G1199" t="s">
        <v>624</v>
      </c>
      <c r="H1199" s="2">
        <v>1228.76</v>
      </c>
      <c r="I1199" t="s">
        <v>25</v>
      </c>
      <c r="J1199" t="s">
        <v>11</v>
      </c>
      <c r="K1199" t="s">
        <v>16</v>
      </c>
    </row>
    <row r="1200" spans="1:11" x14ac:dyDescent="0.25">
      <c r="A1200" t="s">
        <v>673</v>
      </c>
      <c r="B1200" t="s">
        <v>331</v>
      </c>
      <c r="C1200" t="s">
        <v>674</v>
      </c>
      <c r="D1200">
        <v>708260146</v>
      </c>
      <c r="E1200" t="s">
        <v>13</v>
      </c>
      <c r="F1200" s="1">
        <v>45778</v>
      </c>
      <c r="G1200" t="s">
        <v>10</v>
      </c>
      <c r="H1200" s="2">
        <v>289.73</v>
      </c>
      <c r="I1200" t="s">
        <v>25</v>
      </c>
      <c r="J1200" t="s">
        <v>15</v>
      </c>
      <c r="K1200" t="s">
        <v>16</v>
      </c>
    </row>
    <row r="1201" spans="1:11" x14ac:dyDescent="0.25">
      <c r="A1201" t="s">
        <v>614</v>
      </c>
      <c r="B1201" t="s">
        <v>210</v>
      </c>
      <c r="C1201" t="s">
        <v>615</v>
      </c>
      <c r="D1201">
        <v>701528957</v>
      </c>
      <c r="E1201" t="s">
        <v>18</v>
      </c>
      <c r="F1201" s="1">
        <v>45848</v>
      </c>
      <c r="G1201" t="s">
        <v>39</v>
      </c>
      <c r="H1201" s="2">
        <v>1938.55</v>
      </c>
      <c r="I1201" t="s">
        <v>25</v>
      </c>
      <c r="J1201" t="s">
        <v>36</v>
      </c>
      <c r="K1201" t="s">
        <v>16</v>
      </c>
    </row>
    <row r="1202" spans="1:11" x14ac:dyDescent="0.25">
      <c r="A1202" t="s">
        <v>830</v>
      </c>
      <c r="B1202" t="s">
        <v>831</v>
      </c>
      <c r="C1202" t="s">
        <v>832</v>
      </c>
      <c r="D1202">
        <v>731359620</v>
      </c>
      <c r="E1202" t="s">
        <v>18</v>
      </c>
      <c r="F1202" s="1">
        <v>45837</v>
      </c>
      <c r="G1202" t="s">
        <v>443</v>
      </c>
      <c r="H1202" s="2">
        <v>771.79</v>
      </c>
      <c r="I1202" t="s">
        <v>25</v>
      </c>
      <c r="J1202" t="s">
        <v>11</v>
      </c>
      <c r="K1202" t="s">
        <v>16</v>
      </c>
    </row>
    <row r="1203" spans="1:11" x14ac:dyDescent="0.25">
      <c r="A1203" t="s">
        <v>1002</v>
      </c>
      <c r="B1203" t="s">
        <v>587</v>
      </c>
      <c r="C1203" t="s">
        <v>1003</v>
      </c>
      <c r="D1203">
        <v>707111139</v>
      </c>
      <c r="E1203" t="s">
        <v>9</v>
      </c>
      <c r="F1203" s="1">
        <v>45458</v>
      </c>
      <c r="G1203" t="s">
        <v>475</v>
      </c>
      <c r="H1203" s="2">
        <v>249.2</v>
      </c>
      <c r="I1203" t="s">
        <v>25</v>
      </c>
      <c r="J1203" t="s">
        <v>22</v>
      </c>
      <c r="K1203" t="s">
        <v>12</v>
      </c>
    </row>
    <row r="1204" spans="1:11" x14ac:dyDescent="0.25">
      <c r="A1204" t="s">
        <v>687</v>
      </c>
      <c r="B1204" t="s">
        <v>398</v>
      </c>
      <c r="C1204" t="s">
        <v>688</v>
      </c>
      <c r="D1204">
        <v>712704910</v>
      </c>
      <c r="E1204" t="s">
        <v>9</v>
      </c>
      <c r="F1204" s="1">
        <v>45797</v>
      </c>
      <c r="G1204" t="s">
        <v>460</v>
      </c>
      <c r="H1204" s="2">
        <v>438.5</v>
      </c>
      <c r="I1204" t="s">
        <v>25</v>
      </c>
      <c r="J1204" t="s">
        <v>33</v>
      </c>
      <c r="K1204" t="s">
        <v>12</v>
      </c>
    </row>
    <row r="1205" spans="1:11" x14ac:dyDescent="0.25">
      <c r="A1205" t="s">
        <v>1162</v>
      </c>
      <c r="B1205" t="s">
        <v>381</v>
      </c>
      <c r="C1205" t="s">
        <v>1163</v>
      </c>
      <c r="D1205">
        <v>938130308</v>
      </c>
      <c r="E1205" t="s">
        <v>18</v>
      </c>
      <c r="F1205" s="1">
        <v>45387</v>
      </c>
      <c r="G1205" t="s">
        <v>423</v>
      </c>
      <c r="H1205" s="2">
        <v>243.72</v>
      </c>
      <c r="I1205" t="s">
        <v>25</v>
      </c>
      <c r="J1205" t="s">
        <v>11</v>
      </c>
      <c r="K1205" t="s">
        <v>16</v>
      </c>
    </row>
    <row r="1206" spans="1:11" x14ac:dyDescent="0.25">
      <c r="A1206" t="s">
        <v>763</v>
      </c>
      <c r="B1206" t="s">
        <v>343</v>
      </c>
      <c r="C1206" t="s">
        <v>764</v>
      </c>
      <c r="D1206">
        <v>679029843</v>
      </c>
      <c r="E1206" t="s">
        <v>13</v>
      </c>
      <c r="F1206" s="1">
        <v>45199</v>
      </c>
      <c r="G1206" t="s">
        <v>475</v>
      </c>
      <c r="H1206" s="2">
        <v>478.24</v>
      </c>
      <c r="I1206" t="s">
        <v>25</v>
      </c>
      <c r="J1206" t="s">
        <v>22</v>
      </c>
      <c r="K1206" t="s">
        <v>16</v>
      </c>
    </row>
    <row r="1207" spans="1:11" x14ac:dyDescent="0.25">
      <c r="A1207" t="s">
        <v>449</v>
      </c>
      <c r="B1207" t="s">
        <v>88</v>
      </c>
      <c r="C1207" t="s">
        <v>450</v>
      </c>
      <c r="D1207">
        <v>739522597</v>
      </c>
      <c r="E1207" t="s">
        <v>9</v>
      </c>
      <c r="F1207" s="1">
        <v>45227</v>
      </c>
      <c r="G1207" t="s">
        <v>451</v>
      </c>
      <c r="H1207" s="2">
        <v>149.61000000000001</v>
      </c>
      <c r="I1207" t="s">
        <v>25</v>
      </c>
      <c r="J1207" t="s">
        <v>33</v>
      </c>
      <c r="K1207" t="s">
        <v>16</v>
      </c>
    </row>
    <row r="1208" spans="1:11" x14ac:dyDescent="0.25">
      <c r="A1208" t="s">
        <v>1115</v>
      </c>
      <c r="B1208" t="s">
        <v>140</v>
      </c>
      <c r="C1208" t="s">
        <v>1116</v>
      </c>
      <c r="D1208">
        <v>827325070</v>
      </c>
      <c r="E1208" t="s">
        <v>9</v>
      </c>
      <c r="F1208" s="1">
        <v>45373</v>
      </c>
      <c r="G1208" t="s">
        <v>10</v>
      </c>
      <c r="H1208" s="2">
        <v>1690.94</v>
      </c>
      <c r="I1208" t="s">
        <v>25</v>
      </c>
      <c r="J1208" t="s">
        <v>11</v>
      </c>
      <c r="K1208" t="s">
        <v>12</v>
      </c>
    </row>
    <row r="1209" spans="1:11" x14ac:dyDescent="0.25">
      <c r="A1209" t="s">
        <v>595</v>
      </c>
      <c r="B1209" t="s">
        <v>34</v>
      </c>
      <c r="C1209" t="s">
        <v>596</v>
      </c>
      <c r="D1209">
        <v>745956596</v>
      </c>
      <c r="E1209" t="s">
        <v>9</v>
      </c>
      <c r="F1209" s="1">
        <v>45796</v>
      </c>
      <c r="G1209" t="s">
        <v>24</v>
      </c>
      <c r="H1209" s="2">
        <v>401.4</v>
      </c>
      <c r="I1209" t="s">
        <v>25</v>
      </c>
      <c r="J1209" t="s">
        <v>22</v>
      </c>
      <c r="K1209" t="s">
        <v>12</v>
      </c>
    </row>
    <row r="1210" spans="1:11" x14ac:dyDescent="0.25">
      <c r="A1210" t="s">
        <v>1196</v>
      </c>
      <c r="B1210" t="s">
        <v>268</v>
      </c>
      <c r="C1210" t="s">
        <v>1197</v>
      </c>
      <c r="D1210">
        <v>706232765</v>
      </c>
      <c r="E1210" t="s">
        <v>9</v>
      </c>
      <c r="F1210" s="1">
        <v>45356</v>
      </c>
      <c r="G1210" t="s">
        <v>415</v>
      </c>
      <c r="H1210" s="2">
        <v>298.38</v>
      </c>
      <c r="I1210" t="s">
        <v>25</v>
      </c>
      <c r="J1210" t="s">
        <v>33</v>
      </c>
      <c r="K1210" t="s">
        <v>16</v>
      </c>
    </row>
    <row r="1211" spans="1:11" x14ac:dyDescent="0.25">
      <c r="A1211" t="s">
        <v>570</v>
      </c>
      <c r="B1211" t="s">
        <v>571</v>
      </c>
      <c r="C1211" t="s">
        <v>572</v>
      </c>
      <c r="D1211">
        <v>713291022</v>
      </c>
      <c r="E1211" t="s">
        <v>13</v>
      </c>
      <c r="F1211" s="1">
        <v>45682</v>
      </c>
      <c r="G1211" t="s">
        <v>418</v>
      </c>
      <c r="H1211" s="2">
        <v>1187.5</v>
      </c>
      <c r="I1211" t="s">
        <v>25</v>
      </c>
      <c r="J1211" t="s">
        <v>26</v>
      </c>
      <c r="K1211" t="s">
        <v>12</v>
      </c>
    </row>
    <row r="1212" spans="1:11" x14ac:dyDescent="0.25">
      <c r="A1212" t="s">
        <v>951</v>
      </c>
      <c r="B1212" t="s">
        <v>366</v>
      </c>
      <c r="C1212" t="s">
        <v>952</v>
      </c>
      <c r="D1212">
        <v>721073574</v>
      </c>
      <c r="E1212" t="s">
        <v>18</v>
      </c>
      <c r="F1212" s="1">
        <v>45339</v>
      </c>
      <c r="G1212" t="s">
        <v>475</v>
      </c>
      <c r="H1212" s="2">
        <v>776.97</v>
      </c>
      <c r="I1212" t="s">
        <v>25</v>
      </c>
      <c r="J1212" t="s">
        <v>33</v>
      </c>
      <c r="K1212" t="s">
        <v>12</v>
      </c>
    </row>
    <row r="1213" spans="1:11" x14ac:dyDescent="0.25">
      <c r="A1213" t="s">
        <v>774</v>
      </c>
      <c r="B1213" t="s">
        <v>269</v>
      </c>
      <c r="C1213" t="s">
        <v>775</v>
      </c>
      <c r="D1213">
        <v>741006511</v>
      </c>
      <c r="E1213" t="s">
        <v>9</v>
      </c>
      <c r="F1213" s="1">
        <v>45441</v>
      </c>
      <c r="G1213" t="s">
        <v>451</v>
      </c>
      <c r="H1213" s="2">
        <v>1455.1</v>
      </c>
      <c r="I1213" t="s">
        <v>25</v>
      </c>
      <c r="J1213" t="s">
        <v>22</v>
      </c>
      <c r="K1213" t="s">
        <v>12</v>
      </c>
    </row>
    <row r="1214" spans="1:11" x14ac:dyDescent="0.25">
      <c r="A1214" t="s">
        <v>1056</v>
      </c>
      <c r="B1214" t="s">
        <v>98</v>
      </c>
      <c r="C1214" t="s">
        <v>1057</v>
      </c>
      <c r="D1214">
        <v>714801888</v>
      </c>
      <c r="E1214" t="s">
        <v>13</v>
      </c>
      <c r="F1214" s="1">
        <v>45447</v>
      </c>
      <c r="G1214" t="s">
        <v>451</v>
      </c>
      <c r="H1214" s="2">
        <v>633.62</v>
      </c>
      <c r="I1214" t="s">
        <v>444</v>
      </c>
      <c r="J1214" t="s">
        <v>11</v>
      </c>
      <c r="K1214" t="s">
        <v>16</v>
      </c>
    </row>
    <row r="1215" spans="1:11" x14ac:dyDescent="0.25">
      <c r="A1215" t="s">
        <v>1336</v>
      </c>
      <c r="B1215" t="s">
        <v>231</v>
      </c>
      <c r="C1215" t="s">
        <v>1337</v>
      </c>
      <c r="D1215">
        <v>712187897</v>
      </c>
      <c r="E1215" t="s">
        <v>9</v>
      </c>
      <c r="F1215" s="1">
        <v>45849</v>
      </c>
      <c r="G1215" t="s">
        <v>14</v>
      </c>
      <c r="H1215" s="2">
        <v>1171.05</v>
      </c>
      <c r="I1215" t="s">
        <v>25</v>
      </c>
      <c r="J1215" t="s">
        <v>22</v>
      </c>
      <c r="K1215" t="s">
        <v>12</v>
      </c>
    </row>
    <row r="1216" spans="1:11" x14ac:dyDescent="0.25">
      <c r="A1216" t="s">
        <v>432</v>
      </c>
      <c r="B1216" t="s">
        <v>254</v>
      </c>
      <c r="C1216" t="s">
        <v>433</v>
      </c>
      <c r="D1216">
        <v>735998025</v>
      </c>
      <c r="E1216" t="s">
        <v>9</v>
      </c>
      <c r="F1216" s="1">
        <v>45745</v>
      </c>
      <c r="G1216" t="s">
        <v>10</v>
      </c>
      <c r="H1216" s="2">
        <v>1694.06</v>
      </c>
      <c r="I1216" t="s">
        <v>507</v>
      </c>
      <c r="J1216" t="s">
        <v>22</v>
      </c>
      <c r="K1216" t="s">
        <v>12</v>
      </c>
    </row>
    <row r="1217" spans="1:11" x14ac:dyDescent="0.25">
      <c r="A1217" t="s">
        <v>903</v>
      </c>
      <c r="B1217" t="s">
        <v>113</v>
      </c>
      <c r="C1217" t="s">
        <v>904</v>
      </c>
      <c r="D1217">
        <v>680373214</v>
      </c>
      <c r="E1217" t="s">
        <v>9</v>
      </c>
      <c r="F1217" s="1">
        <v>45264</v>
      </c>
      <c r="G1217" t="s">
        <v>21</v>
      </c>
      <c r="H1217" s="2">
        <v>1605.24</v>
      </c>
      <c r="I1217" t="s">
        <v>25</v>
      </c>
      <c r="J1217" t="s">
        <v>22</v>
      </c>
      <c r="K1217" t="s">
        <v>16</v>
      </c>
    </row>
    <row r="1218" spans="1:11" x14ac:dyDescent="0.25">
      <c r="A1218" t="s">
        <v>790</v>
      </c>
      <c r="B1218" t="s">
        <v>153</v>
      </c>
      <c r="C1218" t="s">
        <v>791</v>
      </c>
      <c r="D1218">
        <v>705676062</v>
      </c>
      <c r="E1218" t="s">
        <v>18</v>
      </c>
      <c r="F1218" s="1">
        <v>45357</v>
      </c>
      <c r="G1218" t="s">
        <v>19</v>
      </c>
      <c r="H1218" s="2">
        <v>71.47</v>
      </c>
      <c r="I1218" t="s">
        <v>25</v>
      </c>
      <c r="J1218" t="s">
        <v>15</v>
      </c>
      <c r="K1218" t="s">
        <v>12</v>
      </c>
    </row>
    <row r="1219" spans="1:11" x14ac:dyDescent="0.25">
      <c r="A1219" t="s">
        <v>1100</v>
      </c>
      <c r="B1219" t="s">
        <v>234</v>
      </c>
      <c r="C1219" t="s">
        <v>1101</v>
      </c>
      <c r="D1219">
        <v>741532244</v>
      </c>
      <c r="E1219" t="s">
        <v>9</v>
      </c>
      <c r="F1219" s="1">
        <v>45329</v>
      </c>
      <c r="G1219" t="s">
        <v>415</v>
      </c>
      <c r="H1219" s="2">
        <v>164.27</v>
      </c>
      <c r="I1219" t="s">
        <v>25</v>
      </c>
      <c r="J1219" t="s">
        <v>36</v>
      </c>
      <c r="K1219" t="s">
        <v>12</v>
      </c>
    </row>
    <row r="1220" spans="1:11" x14ac:dyDescent="0.25">
      <c r="A1220" t="s">
        <v>697</v>
      </c>
      <c r="B1220" t="s">
        <v>293</v>
      </c>
      <c r="C1220" t="s">
        <v>698</v>
      </c>
      <c r="D1220">
        <v>704058112</v>
      </c>
      <c r="E1220" t="s">
        <v>18</v>
      </c>
      <c r="F1220" s="1">
        <v>45333</v>
      </c>
      <c r="G1220" t="s">
        <v>412</v>
      </c>
      <c r="H1220" s="2">
        <v>1889.82</v>
      </c>
      <c r="I1220" t="s">
        <v>25</v>
      </c>
      <c r="J1220" t="s">
        <v>11</v>
      </c>
      <c r="K1220" t="s">
        <v>12</v>
      </c>
    </row>
    <row r="1221" spans="1:11" x14ac:dyDescent="0.25">
      <c r="A1221" t="s">
        <v>1078</v>
      </c>
      <c r="B1221" t="s">
        <v>102</v>
      </c>
      <c r="C1221" t="s">
        <v>1079</v>
      </c>
      <c r="D1221">
        <v>624808343</v>
      </c>
      <c r="E1221" t="s">
        <v>18</v>
      </c>
      <c r="F1221" s="1">
        <v>45213</v>
      </c>
      <c r="G1221" t="s">
        <v>35</v>
      </c>
      <c r="H1221" s="2">
        <v>787.17</v>
      </c>
      <c r="I1221" t="s">
        <v>25</v>
      </c>
      <c r="J1221" t="s">
        <v>26</v>
      </c>
      <c r="K1221" t="s">
        <v>16</v>
      </c>
    </row>
    <row r="1222" spans="1:11" x14ac:dyDescent="0.25">
      <c r="A1222" t="s">
        <v>953</v>
      </c>
      <c r="B1222" t="s">
        <v>954</v>
      </c>
      <c r="C1222" t="s">
        <v>955</v>
      </c>
      <c r="D1222">
        <v>745024306</v>
      </c>
      <c r="E1222" t="s">
        <v>9</v>
      </c>
      <c r="F1222" s="1">
        <v>45774</v>
      </c>
      <c r="G1222" t="s">
        <v>29</v>
      </c>
      <c r="H1222" s="2">
        <v>1890.85</v>
      </c>
      <c r="I1222" t="s">
        <v>25</v>
      </c>
      <c r="J1222" t="s">
        <v>22</v>
      </c>
      <c r="K1222" t="s">
        <v>12</v>
      </c>
    </row>
    <row r="1223" spans="1:11" x14ac:dyDescent="0.25">
      <c r="A1223" t="s">
        <v>1418</v>
      </c>
      <c r="B1223" t="s">
        <v>253</v>
      </c>
      <c r="C1223" t="s">
        <v>1419</v>
      </c>
      <c r="D1223">
        <v>925202711</v>
      </c>
      <c r="E1223" t="s">
        <v>18</v>
      </c>
      <c r="F1223" s="1">
        <v>45396</v>
      </c>
      <c r="G1223" t="s">
        <v>39</v>
      </c>
      <c r="H1223" s="2">
        <v>1115.3599999999999</v>
      </c>
      <c r="I1223" t="s">
        <v>444</v>
      </c>
      <c r="J1223" t="s">
        <v>11</v>
      </c>
      <c r="K1223" t="s">
        <v>12</v>
      </c>
    </row>
    <row r="1224" spans="1:11" x14ac:dyDescent="0.25">
      <c r="A1224" t="s">
        <v>1236</v>
      </c>
      <c r="B1224" t="s">
        <v>1237</v>
      </c>
      <c r="C1224" t="s">
        <v>1238</v>
      </c>
      <c r="D1224">
        <v>736625467</v>
      </c>
      <c r="E1224" t="s">
        <v>18</v>
      </c>
      <c r="F1224" s="1">
        <v>45537</v>
      </c>
      <c r="G1224" t="s">
        <v>440</v>
      </c>
      <c r="H1224" s="2">
        <v>111.53</v>
      </c>
      <c r="I1224" t="s">
        <v>25</v>
      </c>
      <c r="J1224" t="s">
        <v>11</v>
      </c>
      <c r="K1224" t="s">
        <v>16</v>
      </c>
    </row>
    <row r="1225" spans="1:11" x14ac:dyDescent="0.25">
      <c r="A1225" t="s">
        <v>1149</v>
      </c>
      <c r="B1225" t="s">
        <v>271</v>
      </c>
      <c r="C1225" t="s">
        <v>1150</v>
      </c>
      <c r="D1225">
        <v>897233546</v>
      </c>
      <c r="E1225" t="s">
        <v>9</v>
      </c>
      <c r="F1225" s="1">
        <v>45844</v>
      </c>
      <c r="G1225" t="s">
        <v>24</v>
      </c>
      <c r="H1225" s="2">
        <v>1562.13</v>
      </c>
      <c r="I1225" t="s">
        <v>25</v>
      </c>
      <c r="J1225" t="s">
        <v>33</v>
      </c>
      <c r="K1225" t="s">
        <v>12</v>
      </c>
    </row>
    <row r="1226" spans="1:11" x14ac:dyDescent="0.25">
      <c r="A1226" t="s">
        <v>465</v>
      </c>
      <c r="B1226" t="s">
        <v>355</v>
      </c>
      <c r="C1226" t="s">
        <v>466</v>
      </c>
      <c r="D1226">
        <v>740369847</v>
      </c>
      <c r="E1226" t="s">
        <v>18</v>
      </c>
      <c r="F1226" s="1">
        <v>45377</v>
      </c>
      <c r="G1226" t="s">
        <v>451</v>
      </c>
      <c r="H1226" s="2">
        <v>758.75</v>
      </c>
      <c r="I1226" t="s">
        <v>507</v>
      </c>
      <c r="J1226" t="s">
        <v>11</v>
      </c>
      <c r="K1226" t="s">
        <v>16</v>
      </c>
    </row>
    <row r="1227" spans="1:11" x14ac:dyDescent="0.25">
      <c r="A1227" t="s">
        <v>1282</v>
      </c>
      <c r="B1227" t="s">
        <v>118</v>
      </c>
      <c r="C1227" t="s">
        <v>1283</v>
      </c>
      <c r="D1227">
        <v>895649355</v>
      </c>
      <c r="E1227" t="s">
        <v>18</v>
      </c>
      <c r="F1227" s="1">
        <v>45552</v>
      </c>
      <c r="G1227" t="s">
        <v>440</v>
      </c>
      <c r="H1227" s="2">
        <v>1514.2</v>
      </c>
      <c r="I1227" t="s">
        <v>25</v>
      </c>
      <c r="J1227" t="s">
        <v>11</v>
      </c>
      <c r="K1227" t="s">
        <v>16</v>
      </c>
    </row>
    <row r="1228" spans="1:11" x14ac:dyDescent="0.25">
      <c r="A1228" t="s">
        <v>754</v>
      </c>
      <c r="B1228" t="s">
        <v>307</v>
      </c>
      <c r="C1228" t="s">
        <v>755</v>
      </c>
      <c r="D1228">
        <v>726605821</v>
      </c>
      <c r="E1228" t="s">
        <v>18</v>
      </c>
      <c r="F1228" s="1">
        <v>45199</v>
      </c>
      <c r="G1228" t="s">
        <v>24</v>
      </c>
      <c r="H1228" s="2">
        <v>1597.77</v>
      </c>
      <c r="I1228" t="s">
        <v>507</v>
      </c>
      <c r="J1228" t="s">
        <v>11</v>
      </c>
      <c r="K1228" t="s">
        <v>12</v>
      </c>
    </row>
    <row r="1229" spans="1:11" x14ac:dyDescent="0.25">
      <c r="A1229" t="s">
        <v>1438</v>
      </c>
      <c r="B1229" t="s">
        <v>295</v>
      </c>
      <c r="C1229" t="s">
        <v>1439</v>
      </c>
      <c r="D1229">
        <v>698355833</v>
      </c>
      <c r="E1229" t="s">
        <v>18</v>
      </c>
      <c r="F1229" s="1">
        <v>45873</v>
      </c>
      <c r="G1229" t="s">
        <v>415</v>
      </c>
      <c r="H1229" s="2">
        <v>55.69</v>
      </c>
      <c r="I1229" t="s">
        <v>25</v>
      </c>
      <c r="J1229" t="s">
        <v>11</v>
      </c>
      <c r="K1229" t="s">
        <v>12</v>
      </c>
    </row>
    <row r="1230" spans="1:11" x14ac:dyDescent="0.25">
      <c r="A1230" t="s">
        <v>891</v>
      </c>
      <c r="B1230" t="s">
        <v>892</v>
      </c>
      <c r="C1230" t="s">
        <v>893</v>
      </c>
      <c r="D1230">
        <v>644562274</v>
      </c>
      <c r="E1230" t="s">
        <v>9</v>
      </c>
      <c r="F1230" s="1">
        <v>45588</v>
      </c>
      <c r="G1230" t="s">
        <v>415</v>
      </c>
      <c r="H1230" s="2">
        <v>1245.6600000000001</v>
      </c>
      <c r="I1230" t="s">
        <v>25</v>
      </c>
      <c r="J1230" t="s">
        <v>26</v>
      </c>
      <c r="K1230" t="s">
        <v>16</v>
      </c>
    </row>
    <row r="1231" spans="1:11" x14ac:dyDescent="0.25">
      <c r="A1231" t="s">
        <v>887</v>
      </c>
      <c r="B1231" t="s">
        <v>151</v>
      </c>
      <c r="C1231" t="s">
        <v>888</v>
      </c>
      <c r="D1231">
        <v>924134952</v>
      </c>
      <c r="E1231" t="s">
        <v>18</v>
      </c>
      <c r="F1231" s="1">
        <v>45208</v>
      </c>
      <c r="G1231" t="s">
        <v>412</v>
      </c>
      <c r="H1231" s="2">
        <v>439.01</v>
      </c>
      <c r="I1231" t="s">
        <v>444</v>
      </c>
      <c r="J1231" t="s">
        <v>36</v>
      </c>
      <c r="K1231" t="s">
        <v>12</v>
      </c>
    </row>
    <row r="1232" spans="1:11" x14ac:dyDescent="0.25">
      <c r="A1232" t="s">
        <v>1010</v>
      </c>
      <c r="B1232" t="s">
        <v>405</v>
      </c>
      <c r="C1232" t="s">
        <v>1011</v>
      </c>
      <c r="D1232">
        <v>988674084</v>
      </c>
      <c r="E1232" t="s">
        <v>9</v>
      </c>
      <c r="F1232" s="1">
        <v>45320</v>
      </c>
      <c r="G1232" t="s">
        <v>14</v>
      </c>
      <c r="H1232" s="2">
        <v>21.94</v>
      </c>
      <c r="I1232" t="s">
        <v>25</v>
      </c>
      <c r="J1232" t="s">
        <v>22</v>
      </c>
      <c r="K1232" t="s">
        <v>16</v>
      </c>
    </row>
    <row r="1233" spans="1:11" x14ac:dyDescent="0.25">
      <c r="A1233" t="s">
        <v>1398</v>
      </c>
      <c r="B1233" t="s">
        <v>750</v>
      </c>
      <c r="C1233" t="s">
        <v>1399</v>
      </c>
      <c r="D1233">
        <v>986129822</v>
      </c>
      <c r="E1233" t="s">
        <v>9</v>
      </c>
      <c r="F1233" s="1">
        <v>45480</v>
      </c>
      <c r="G1233" t="s">
        <v>475</v>
      </c>
      <c r="H1233" s="2">
        <v>1572.07</v>
      </c>
      <c r="I1233" t="s">
        <v>25</v>
      </c>
      <c r="J1233" t="s">
        <v>33</v>
      </c>
      <c r="K1233" t="s">
        <v>12</v>
      </c>
    </row>
    <row r="1234" spans="1:11" x14ac:dyDescent="0.25">
      <c r="A1234" t="s">
        <v>428</v>
      </c>
      <c r="B1234" t="s">
        <v>64</v>
      </c>
      <c r="C1234" t="s">
        <v>429</v>
      </c>
      <c r="D1234">
        <v>681249637</v>
      </c>
      <c r="E1234" t="s">
        <v>13</v>
      </c>
      <c r="F1234" s="1">
        <v>45237</v>
      </c>
      <c r="G1234" t="s">
        <v>418</v>
      </c>
      <c r="H1234" s="2">
        <v>1520.98</v>
      </c>
      <c r="I1234" t="s">
        <v>25</v>
      </c>
      <c r="J1234" t="s">
        <v>11</v>
      </c>
      <c r="K1234" t="s">
        <v>16</v>
      </c>
    </row>
    <row r="1235" spans="1:11" x14ac:dyDescent="0.25">
      <c r="A1235" t="s">
        <v>905</v>
      </c>
      <c r="B1235" t="s">
        <v>275</v>
      </c>
      <c r="C1235" t="s">
        <v>906</v>
      </c>
      <c r="D1235">
        <v>907022641</v>
      </c>
      <c r="E1235" t="s">
        <v>9</v>
      </c>
      <c r="F1235" s="1">
        <v>45808</v>
      </c>
      <c r="G1235" t="s">
        <v>21</v>
      </c>
      <c r="H1235" s="2">
        <v>1871.5</v>
      </c>
      <c r="I1235" t="s">
        <v>25</v>
      </c>
      <c r="J1235" t="s">
        <v>26</v>
      </c>
      <c r="K1235" t="s">
        <v>12</v>
      </c>
    </row>
    <row r="1236" spans="1:11" x14ac:dyDescent="0.25">
      <c r="A1236" t="s">
        <v>653</v>
      </c>
      <c r="B1236" t="s">
        <v>654</v>
      </c>
      <c r="C1236" t="s">
        <v>655</v>
      </c>
      <c r="D1236">
        <v>719370887</v>
      </c>
      <c r="E1236" t="s">
        <v>18</v>
      </c>
      <c r="F1236" s="1">
        <v>45536</v>
      </c>
      <c r="G1236" t="s">
        <v>475</v>
      </c>
      <c r="H1236" s="2">
        <v>23.36</v>
      </c>
      <c r="I1236" t="s">
        <v>25</v>
      </c>
      <c r="J1236" t="s">
        <v>36</v>
      </c>
      <c r="K1236" t="s">
        <v>16</v>
      </c>
    </row>
    <row r="1237" spans="1:11" x14ac:dyDescent="0.25">
      <c r="A1237" t="s">
        <v>745</v>
      </c>
      <c r="B1237" t="s">
        <v>289</v>
      </c>
      <c r="C1237" t="s">
        <v>746</v>
      </c>
      <c r="D1237">
        <v>719129176</v>
      </c>
      <c r="E1237" t="s">
        <v>18</v>
      </c>
      <c r="F1237" s="1">
        <v>45500</v>
      </c>
      <c r="G1237" t="s">
        <v>21</v>
      </c>
      <c r="H1237" s="2">
        <v>119.52</v>
      </c>
      <c r="I1237" t="s">
        <v>25</v>
      </c>
      <c r="J1237" t="s">
        <v>36</v>
      </c>
      <c r="K1237" t="s">
        <v>12</v>
      </c>
    </row>
    <row r="1238" spans="1:11" x14ac:dyDescent="0.25">
      <c r="A1238" t="s">
        <v>1440</v>
      </c>
      <c r="B1238" t="s">
        <v>224</v>
      </c>
      <c r="C1238" t="s">
        <v>1441</v>
      </c>
      <c r="D1238">
        <v>715479467</v>
      </c>
      <c r="E1238" t="s">
        <v>18</v>
      </c>
      <c r="F1238" s="1">
        <v>45671</v>
      </c>
      <c r="G1238" t="s">
        <v>423</v>
      </c>
      <c r="H1238" s="2">
        <v>768.94</v>
      </c>
      <c r="I1238" t="s">
        <v>444</v>
      </c>
      <c r="J1238" t="s">
        <v>33</v>
      </c>
      <c r="K1238" t="s">
        <v>16</v>
      </c>
    </row>
    <row r="1239" spans="1:11" x14ac:dyDescent="0.25">
      <c r="A1239" t="s">
        <v>645</v>
      </c>
      <c r="B1239" t="s">
        <v>168</v>
      </c>
      <c r="C1239" t="s">
        <v>646</v>
      </c>
      <c r="D1239">
        <v>744704520</v>
      </c>
      <c r="E1239" t="s">
        <v>9</v>
      </c>
      <c r="F1239" s="1">
        <v>45724</v>
      </c>
      <c r="G1239" t="s">
        <v>24</v>
      </c>
      <c r="H1239" s="2">
        <v>1240.6199999999999</v>
      </c>
      <c r="I1239" t="s">
        <v>25</v>
      </c>
      <c r="J1239" t="s">
        <v>33</v>
      </c>
      <c r="K1239" t="s">
        <v>12</v>
      </c>
    </row>
    <row r="1240" spans="1:11" x14ac:dyDescent="0.25">
      <c r="A1240" t="s">
        <v>1442</v>
      </c>
      <c r="B1240" t="s">
        <v>145</v>
      </c>
      <c r="C1240" t="s">
        <v>1443</v>
      </c>
      <c r="D1240">
        <v>954023587</v>
      </c>
      <c r="E1240" t="s">
        <v>18</v>
      </c>
      <c r="F1240" s="1">
        <v>45217</v>
      </c>
      <c r="G1240" t="s">
        <v>21</v>
      </c>
      <c r="H1240" s="2">
        <v>67.56</v>
      </c>
      <c r="I1240" t="s">
        <v>25</v>
      </c>
      <c r="J1240" t="s">
        <v>33</v>
      </c>
      <c r="K1240" t="s">
        <v>16</v>
      </c>
    </row>
    <row r="1241" spans="1:11" x14ac:dyDescent="0.25">
      <c r="A1241" t="s">
        <v>776</v>
      </c>
      <c r="B1241" t="s">
        <v>200</v>
      </c>
      <c r="C1241" t="s">
        <v>777</v>
      </c>
      <c r="D1241">
        <v>727278182</v>
      </c>
      <c r="E1241" t="s">
        <v>9</v>
      </c>
      <c r="F1241" s="1">
        <v>45469</v>
      </c>
      <c r="G1241" t="s">
        <v>603</v>
      </c>
      <c r="H1241" s="2">
        <v>1694.45</v>
      </c>
      <c r="I1241" t="s">
        <v>507</v>
      </c>
      <c r="J1241" t="s">
        <v>11</v>
      </c>
      <c r="K1241" t="s">
        <v>16</v>
      </c>
    </row>
    <row r="1242" spans="1:11" x14ac:dyDescent="0.25">
      <c r="A1242" t="s">
        <v>1024</v>
      </c>
      <c r="B1242" t="s">
        <v>78</v>
      </c>
      <c r="C1242" t="s">
        <v>1025</v>
      </c>
      <c r="D1242">
        <v>747208220</v>
      </c>
      <c r="E1242" t="s">
        <v>18</v>
      </c>
      <c r="F1242" s="1">
        <v>45522</v>
      </c>
      <c r="G1242" t="s">
        <v>624</v>
      </c>
      <c r="H1242" s="2">
        <v>386.51</v>
      </c>
      <c r="I1242" t="s">
        <v>444</v>
      </c>
      <c r="J1242" t="s">
        <v>11</v>
      </c>
      <c r="K1242" t="s">
        <v>16</v>
      </c>
    </row>
    <row r="1243" spans="1:11" x14ac:dyDescent="0.25">
      <c r="A1243" t="s">
        <v>691</v>
      </c>
      <c r="B1243" t="s">
        <v>361</v>
      </c>
      <c r="C1243" t="s">
        <v>692</v>
      </c>
      <c r="D1243">
        <v>653146228</v>
      </c>
      <c r="E1243" t="s">
        <v>18</v>
      </c>
      <c r="F1243" s="1">
        <v>45545</v>
      </c>
      <c r="G1243" t="s">
        <v>460</v>
      </c>
      <c r="H1243" s="2">
        <v>851.4</v>
      </c>
      <c r="I1243" t="s">
        <v>25</v>
      </c>
      <c r="J1243" t="s">
        <v>11</v>
      </c>
      <c r="K1243" t="s">
        <v>12</v>
      </c>
    </row>
    <row r="1244" spans="1:11" x14ac:dyDescent="0.25">
      <c r="A1244" t="s">
        <v>845</v>
      </c>
      <c r="B1244" t="s">
        <v>174</v>
      </c>
      <c r="C1244" t="s">
        <v>846</v>
      </c>
      <c r="D1244">
        <v>739067408</v>
      </c>
      <c r="E1244" t="s">
        <v>9</v>
      </c>
      <c r="F1244" s="1">
        <v>45676</v>
      </c>
      <c r="G1244" t="s">
        <v>460</v>
      </c>
      <c r="H1244" s="2">
        <v>234.62</v>
      </c>
      <c r="I1244" t="s">
        <v>507</v>
      </c>
      <c r="J1244" t="s">
        <v>22</v>
      </c>
      <c r="K1244" t="s">
        <v>16</v>
      </c>
    </row>
    <row r="1245" spans="1:11" x14ac:dyDescent="0.25">
      <c r="A1245" t="s">
        <v>926</v>
      </c>
      <c r="B1245" t="s">
        <v>178</v>
      </c>
      <c r="C1245" t="s">
        <v>927</v>
      </c>
      <c r="D1245">
        <v>708355930</v>
      </c>
      <c r="E1245" t="s">
        <v>9</v>
      </c>
      <c r="F1245" s="1">
        <v>45824</v>
      </c>
      <c r="G1245" t="s">
        <v>24</v>
      </c>
      <c r="H1245" s="2">
        <v>1403.22</v>
      </c>
      <c r="I1245" t="s">
        <v>25</v>
      </c>
      <c r="J1245" t="s">
        <v>15</v>
      </c>
      <c r="K1245" t="s">
        <v>12</v>
      </c>
    </row>
    <row r="1246" spans="1:11" x14ac:dyDescent="0.25">
      <c r="A1246" t="s">
        <v>813</v>
      </c>
      <c r="B1246" t="s">
        <v>814</v>
      </c>
      <c r="C1246" t="s">
        <v>815</v>
      </c>
      <c r="D1246">
        <v>741044800</v>
      </c>
      <c r="E1246" t="s">
        <v>9</v>
      </c>
      <c r="F1246" s="1">
        <v>45870</v>
      </c>
      <c r="G1246" t="s">
        <v>19</v>
      </c>
      <c r="H1246" s="2">
        <v>923.02</v>
      </c>
      <c r="I1246" t="s">
        <v>25</v>
      </c>
      <c r="J1246" t="s">
        <v>33</v>
      </c>
      <c r="K1246" t="s">
        <v>16</v>
      </c>
    </row>
    <row r="1247" spans="1:11" x14ac:dyDescent="0.25">
      <c r="A1247" t="s">
        <v>519</v>
      </c>
      <c r="B1247" t="s">
        <v>119</v>
      </c>
      <c r="C1247" t="s">
        <v>520</v>
      </c>
      <c r="D1247">
        <v>706921192</v>
      </c>
      <c r="E1247" t="s">
        <v>13</v>
      </c>
      <c r="F1247" s="1">
        <v>45449</v>
      </c>
      <c r="G1247" t="s">
        <v>24</v>
      </c>
      <c r="H1247" s="2">
        <v>1661.15</v>
      </c>
      <c r="I1247" t="s">
        <v>507</v>
      </c>
      <c r="J1247" t="s">
        <v>11</v>
      </c>
      <c r="K1247" t="s">
        <v>16</v>
      </c>
    </row>
    <row r="1248" spans="1:11" x14ac:dyDescent="0.25">
      <c r="A1248" t="s">
        <v>1245</v>
      </c>
      <c r="B1248" t="s">
        <v>290</v>
      </c>
      <c r="C1248" t="s">
        <v>1246</v>
      </c>
      <c r="D1248">
        <v>966229025</v>
      </c>
      <c r="E1248" t="s">
        <v>9</v>
      </c>
      <c r="F1248" s="1">
        <v>45457</v>
      </c>
      <c r="G1248" t="s">
        <v>518</v>
      </c>
      <c r="H1248" s="2">
        <v>1251.8399999999999</v>
      </c>
      <c r="I1248" t="s">
        <v>25</v>
      </c>
      <c r="J1248" t="s">
        <v>22</v>
      </c>
      <c r="K1248" t="s">
        <v>12</v>
      </c>
    </row>
    <row r="1249" spans="1:11" x14ac:dyDescent="0.25">
      <c r="A1249" t="s">
        <v>1444</v>
      </c>
      <c r="B1249" t="s">
        <v>90</v>
      </c>
      <c r="C1249" t="s">
        <v>1445</v>
      </c>
      <c r="D1249">
        <v>702219994</v>
      </c>
      <c r="E1249" t="s">
        <v>9</v>
      </c>
      <c r="F1249" s="1">
        <v>45219</v>
      </c>
      <c r="G1249" t="s">
        <v>24</v>
      </c>
      <c r="H1249" s="2">
        <v>589.51</v>
      </c>
      <c r="I1249" t="s">
        <v>25</v>
      </c>
      <c r="J1249" t="s">
        <v>33</v>
      </c>
      <c r="K1249" t="s">
        <v>12</v>
      </c>
    </row>
    <row r="1250" spans="1:11" x14ac:dyDescent="0.25">
      <c r="A1250" t="s">
        <v>419</v>
      </c>
      <c r="B1250" t="s">
        <v>353</v>
      </c>
      <c r="C1250" t="s">
        <v>420</v>
      </c>
      <c r="D1250">
        <v>720443658</v>
      </c>
      <c r="E1250" t="s">
        <v>9</v>
      </c>
      <c r="F1250" s="1">
        <v>45415</v>
      </c>
      <c r="G1250" t="s">
        <v>14</v>
      </c>
      <c r="H1250" s="2">
        <v>224.63</v>
      </c>
      <c r="I1250" t="s">
        <v>25</v>
      </c>
      <c r="J1250" t="s">
        <v>11</v>
      </c>
      <c r="K1250" t="s">
        <v>12</v>
      </c>
    </row>
    <row r="1251" spans="1:11" x14ac:dyDescent="0.25">
      <c r="A1251" t="s">
        <v>887</v>
      </c>
      <c r="B1251" t="s">
        <v>151</v>
      </c>
      <c r="C1251" t="s">
        <v>888</v>
      </c>
      <c r="D1251">
        <v>924134952</v>
      </c>
      <c r="E1251" t="s">
        <v>18</v>
      </c>
      <c r="F1251" s="1">
        <v>45446</v>
      </c>
      <c r="G1251" t="s">
        <v>412</v>
      </c>
      <c r="H1251" s="2">
        <v>395.2</v>
      </c>
      <c r="I1251" t="s">
        <v>25</v>
      </c>
      <c r="J1251" t="s">
        <v>11</v>
      </c>
      <c r="K1251" t="s">
        <v>12</v>
      </c>
    </row>
    <row r="1252" spans="1:11" x14ac:dyDescent="0.25">
      <c r="A1252" t="s">
        <v>765</v>
      </c>
      <c r="B1252" t="s">
        <v>248</v>
      </c>
      <c r="C1252" t="s">
        <v>766</v>
      </c>
      <c r="D1252">
        <v>745695976</v>
      </c>
      <c r="E1252" t="s">
        <v>9</v>
      </c>
      <c r="F1252" s="1">
        <v>45296</v>
      </c>
      <c r="G1252" t="s">
        <v>412</v>
      </c>
      <c r="H1252" s="2">
        <v>132.65</v>
      </c>
      <c r="I1252" t="s">
        <v>25</v>
      </c>
      <c r="J1252" t="s">
        <v>11</v>
      </c>
      <c r="K1252" t="s">
        <v>16</v>
      </c>
    </row>
    <row r="1253" spans="1:11" x14ac:dyDescent="0.25">
      <c r="A1253" t="s">
        <v>743</v>
      </c>
      <c r="B1253" t="s">
        <v>48</v>
      </c>
      <c r="C1253" t="s">
        <v>744</v>
      </c>
      <c r="D1253">
        <v>951388515</v>
      </c>
      <c r="E1253" t="s">
        <v>9</v>
      </c>
      <c r="F1253" s="1">
        <v>45515</v>
      </c>
      <c r="G1253" t="s">
        <v>451</v>
      </c>
      <c r="H1253" s="2">
        <v>963.89</v>
      </c>
      <c r="I1253" t="s">
        <v>25</v>
      </c>
      <c r="J1253" t="s">
        <v>11</v>
      </c>
      <c r="K1253" t="s">
        <v>16</v>
      </c>
    </row>
    <row r="1254" spans="1:11" x14ac:dyDescent="0.25">
      <c r="A1254" t="s">
        <v>545</v>
      </c>
      <c r="B1254" t="s">
        <v>334</v>
      </c>
      <c r="C1254" t="s">
        <v>546</v>
      </c>
      <c r="D1254">
        <v>739112559</v>
      </c>
      <c r="E1254" t="s">
        <v>9</v>
      </c>
      <c r="F1254" s="1">
        <v>45529</v>
      </c>
      <c r="G1254" t="s">
        <v>443</v>
      </c>
      <c r="H1254" s="2">
        <v>1010.44</v>
      </c>
      <c r="I1254" t="s">
        <v>25</v>
      </c>
      <c r="J1254" t="s">
        <v>22</v>
      </c>
      <c r="K1254" t="s">
        <v>16</v>
      </c>
    </row>
    <row r="1255" spans="1:11" x14ac:dyDescent="0.25">
      <c r="A1255" t="s">
        <v>560</v>
      </c>
      <c r="B1255" t="s">
        <v>71</v>
      </c>
      <c r="C1255" t="s">
        <v>561</v>
      </c>
      <c r="D1255">
        <v>747410141</v>
      </c>
      <c r="E1255" t="s">
        <v>9</v>
      </c>
      <c r="F1255" s="1">
        <v>45796</v>
      </c>
      <c r="G1255" t="s">
        <v>418</v>
      </c>
      <c r="H1255" s="2">
        <v>780.81</v>
      </c>
      <c r="I1255" t="s">
        <v>25</v>
      </c>
      <c r="J1255" t="s">
        <v>33</v>
      </c>
      <c r="K1255" t="s">
        <v>16</v>
      </c>
    </row>
    <row r="1256" spans="1:11" x14ac:dyDescent="0.25">
      <c r="A1256" t="s">
        <v>776</v>
      </c>
      <c r="B1256" t="s">
        <v>200</v>
      </c>
      <c r="C1256" t="s">
        <v>777</v>
      </c>
      <c r="D1256">
        <v>727278182</v>
      </c>
      <c r="E1256" t="s">
        <v>9</v>
      </c>
      <c r="F1256" s="1">
        <v>45502</v>
      </c>
      <c r="G1256" t="s">
        <v>603</v>
      </c>
      <c r="H1256" s="2">
        <v>590.54999999999995</v>
      </c>
      <c r="I1256" t="s">
        <v>25</v>
      </c>
      <c r="J1256" t="s">
        <v>33</v>
      </c>
      <c r="K1256" t="s">
        <v>16</v>
      </c>
    </row>
    <row r="1257" spans="1:11" x14ac:dyDescent="0.25">
      <c r="A1257" t="s">
        <v>743</v>
      </c>
      <c r="B1257" t="s">
        <v>48</v>
      </c>
      <c r="C1257" t="s">
        <v>744</v>
      </c>
      <c r="D1257">
        <v>951388515</v>
      </c>
      <c r="E1257" t="s">
        <v>9</v>
      </c>
      <c r="F1257" s="1">
        <v>45530</v>
      </c>
      <c r="G1257" t="s">
        <v>451</v>
      </c>
      <c r="H1257" s="2">
        <v>157.47999999999999</v>
      </c>
      <c r="I1257" t="s">
        <v>444</v>
      </c>
      <c r="J1257" t="s">
        <v>33</v>
      </c>
      <c r="K1257" t="s">
        <v>12</v>
      </c>
    </row>
    <row r="1258" spans="1:11" x14ac:dyDescent="0.25">
      <c r="A1258" t="s">
        <v>856</v>
      </c>
      <c r="B1258" t="s">
        <v>97</v>
      </c>
      <c r="C1258" t="s">
        <v>857</v>
      </c>
      <c r="D1258">
        <v>748297259</v>
      </c>
      <c r="E1258" t="s">
        <v>9</v>
      </c>
      <c r="F1258" s="1">
        <v>45792</v>
      </c>
      <c r="G1258" t="s">
        <v>35</v>
      </c>
      <c r="H1258" s="2">
        <v>1433.14</v>
      </c>
      <c r="I1258" t="s">
        <v>25</v>
      </c>
      <c r="J1258" t="s">
        <v>33</v>
      </c>
      <c r="K1258" t="s">
        <v>12</v>
      </c>
    </row>
    <row r="1259" spans="1:11" x14ac:dyDescent="0.25">
      <c r="A1259" t="s">
        <v>1434</v>
      </c>
      <c r="B1259" t="s">
        <v>252</v>
      </c>
      <c r="C1259" t="s">
        <v>1435</v>
      </c>
      <c r="D1259">
        <v>706544642</v>
      </c>
      <c r="E1259" t="s">
        <v>18</v>
      </c>
      <c r="F1259" s="1">
        <v>45500</v>
      </c>
      <c r="G1259" t="s">
        <v>518</v>
      </c>
      <c r="H1259" s="2">
        <v>1184.6400000000001</v>
      </c>
      <c r="I1259" t="s">
        <v>25</v>
      </c>
      <c r="J1259" t="s">
        <v>26</v>
      </c>
      <c r="K1259" t="s">
        <v>12</v>
      </c>
    </row>
    <row r="1260" spans="1:11" x14ac:dyDescent="0.25">
      <c r="A1260" t="s">
        <v>601</v>
      </c>
      <c r="B1260" t="s">
        <v>339</v>
      </c>
      <c r="C1260" t="s">
        <v>602</v>
      </c>
      <c r="D1260">
        <v>825868533</v>
      </c>
      <c r="E1260" t="s">
        <v>18</v>
      </c>
      <c r="F1260" s="1">
        <v>45232</v>
      </c>
      <c r="G1260" t="s">
        <v>603</v>
      </c>
      <c r="H1260" s="2">
        <v>1388.02</v>
      </c>
      <c r="I1260" t="s">
        <v>25</v>
      </c>
      <c r="J1260" t="s">
        <v>11</v>
      </c>
      <c r="K1260" t="s">
        <v>16</v>
      </c>
    </row>
    <row r="1261" spans="1:11" x14ac:dyDescent="0.25">
      <c r="A1261" t="s">
        <v>1336</v>
      </c>
      <c r="B1261" t="s">
        <v>231</v>
      </c>
      <c r="C1261" t="s">
        <v>1337</v>
      </c>
      <c r="D1261">
        <v>712187897</v>
      </c>
      <c r="E1261" t="s">
        <v>9</v>
      </c>
      <c r="F1261" s="1">
        <v>45441</v>
      </c>
      <c r="G1261" t="s">
        <v>14</v>
      </c>
      <c r="H1261" s="2">
        <v>1169.94</v>
      </c>
      <c r="I1261" t="s">
        <v>25</v>
      </c>
      <c r="J1261" t="s">
        <v>11</v>
      </c>
      <c r="K1261" t="s">
        <v>12</v>
      </c>
    </row>
    <row r="1262" spans="1:11" x14ac:dyDescent="0.25">
      <c r="A1262" t="s">
        <v>691</v>
      </c>
      <c r="B1262" t="s">
        <v>361</v>
      </c>
      <c r="C1262" t="s">
        <v>692</v>
      </c>
      <c r="D1262">
        <v>653146228</v>
      </c>
      <c r="E1262" t="s">
        <v>18</v>
      </c>
      <c r="F1262" s="1">
        <v>45562</v>
      </c>
      <c r="G1262" t="s">
        <v>460</v>
      </c>
      <c r="H1262" s="2">
        <v>1103.9100000000001</v>
      </c>
      <c r="I1262" t="s">
        <v>25</v>
      </c>
      <c r="J1262" t="s">
        <v>11</v>
      </c>
      <c r="K1262" t="s">
        <v>12</v>
      </c>
    </row>
    <row r="1263" spans="1:11" x14ac:dyDescent="0.25">
      <c r="A1263" t="s">
        <v>1377</v>
      </c>
      <c r="B1263" t="s">
        <v>56</v>
      </c>
      <c r="C1263" t="s">
        <v>1378</v>
      </c>
      <c r="D1263">
        <v>717669942</v>
      </c>
      <c r="E1263" t="s">
        <v>9</v>
      </c>
      <c r="F1263" s="1">
        <v>45504</v>
      </c>
      <c r="G1263" t="s">
        <v>24</v>
      </c>
      <c r="H1263" s="2">
        <v>1973.63</v>
      </c>
      <c r="I1263" t="s">
        <v>25</v>
      </c>
      <c r="J1263" t="s">
        <v>33</v>
      </c>
      <c r="K1263" t="s">
        <v>12</v>
      </c>
    </row>
    <row r="1264" spans="1:11" x14ac:dyDescent="0.25">
      <c r="A1264" t="s">
        <v>1026</v>
      </c>
      <c r="B1264" t="s">
        <v>28</v>
      </c>
      <c r="C1264" t="s">
        <v>1027</v>
      </c>
      <c r="D1264">
        <v>955471414</v>
      </c>
      <c r="E1264" t="s">
        <v>9</v>
      </c>
      <c r="F1264" s="1">
        <v>45730</v>
      </c>
      <c r="G1264" t="s">
        <v>39</v>
      </c>
      <c r="H1264" s="2">
        <v>1985.19</v>
      </c>
      <c r="I1264" t="s">
        <v>25</v>
      </c>
      <c r="J1264" t="s">
        <v>11</v>
      </c>
      <c r="K1264" t="s">
        <v>16</v>
      </c>
    </row>
    <row r="1265" spans="1:11" x14ac:dyDescent="0.25">
      <c r="A1265" t="s">
        <v>810</v>
      </c>
      <c r="B1265" t="s">
        <v>811</v>
      </c>
      <c r="C1265" t="s">
        <v>812</v>
      </c>
      <c r="D1265">
        <v>741972258</v>
      </c>
      <c r="E1265" t="s">
        <v>9</v>
      </c>
      <c r="F1265" s="1">
        <v>45867</v>
      </c>
      <c r="G1265" t="s">
        <v>603</v>
      </c>
      <c r="H1265" s="2">
        <v>178.93</v>
      </c>
      <c r="I1265" t="s">
        <v>25</v>
      </c>
      <c r="J1265" t="s">
        <v>11</v>
      </c>
      <c r="K1265" t="s">
        <v>12</v>
      </c>
    </row>
    <row r="1266" spans="1:11" x14ac:dyDescent="0.25">
      <c r="A1266" t="s">
        <v>875</v>
      </c>
      <c r="B1266" t="s">
        <v>97</v>
      </c>
      <c r="C1266" t="s">
        <v>876</v>
      </c>
      <c r="D1266">
        <v>621081475</v>
      </c>
      <c r="E1266" t="s">
        <v>18</v>
      </c>
      <c r="F1266" s="1">
        <v>45737</v>
      </c>
      <c r="G1266" t="s">
        <v>21</v>
      </c>
      <c r="H1266" s="2">
        <v>1656.12</v>
      </c>
      <c r="I1266" t="s">
        <v>444</v>
      </c>
      <c r="J1266" t="s">
        <v>11</v>
      </c>
      <c r="K1266" t="s">
        <v>12</v>
      </c>
    </row>
    <row r="1267" spans="1:11" x14ac:dyDescent="0.25">
      <c r="A1267" t="s">
        <v>804</v>
      </c>
      <c r="B1267" t="s">
        <v>45</v>
      </c>
      <c r="C1267" t="s">
        <v>805</v>
      </c>
      <c r="D1267">
        <v>716908291</v>
      </c>
      <c r="E1267" t="s">
        <v>9</v>
      </c>
      <c r="F1267" s="1">
        <v>45507</v>
      </c>
      <c r="G1267" t="s">
        <v>451</v>
      </c>
      <c r="H1267" s="2">
        <v>1639.67</v>
      </c>
      <c r="I1267" t="s">
        <v>25</v>
      </c>
      <c r="J1267" t="s">
        <v>26</v>
      </c>
      <c r="K1267" t="s">
        <v>12</v>
      </c>
    </row>
    <row r="1268" spans="1:11" x14ac:dyDescent="0.25">
      <c r="A1268" t="s">
        <v>416</v>
      </c>
      <c r="B1268" t="s">
        <v>145</v>
      </c>
      <c r="C1268" t="s">
        <v>417</v>
      </c>
      <c r="D1268">
        <v>714510122</v>
      </c>
      <c r="E1268" t="s">
        <v>9</v>
      </c>
      <c r="F1268" s="1">
        <v>45690</v>
      </c>
      <c r="G1268" t="s">
        <v>418</v>
      </c>
      <c r="H1268" s="2">
        <v>1606.89</v>
      </c>
      <c r="I1268" t="s">
        <v>25</v>
      </c>
      <c r="J1268" t="s">
        <v>22</v>
      </c>
      <c r="K1268" t="s">
        <v>16</v>
      </c>
    </row>
    <row r="1269" spans="1:11" x14ac:dyDescent="0.25">
      <c r="A1269" t="s">
        <v>519</v>
      </c>
      <c r="B1269" t="s">
        <v>119</v>
      </c>
      <c r="C1269" t="s">
        <v>520</v>
      </c>
      <c r="D1269">
        <v>706921192</v>
      </c>
      <c r="E1269" t="s">
        <v>13</v>
      </c>
      <c r="F1269" s="1">
        <v>45487</v>
      </c>
      <c r="G1269" t="s">
        <v>24</v>
      </c>
      <c r="H1269" s="2">
        <v>542.9</v>
      </c>
      <c r="I1269" t="s">
        <v>25</v>
      </c>
      <c r="J1269" t="s">
        <v>22</v>
      </c>
      <c r="K1269" t="s">
        <v>16</v>
      </c>
    </row>
    <row r="1270" spans="1:11" x14ac:dyDescent="0.25">
      <c r="A1270" t="s">
        <v>447</v>
      </c>
      <c r="B1270" t="s">
        <v>207</v>
      </c>
      <c r="C1270" t="s">
        <v>448</v>
      </c>
      <c r="D1270">
        <v>870185749</v>
      </c>
      <c r="E1270" t="s">
        <v>9</v>
      </c>
      <c r="F1270" s="1">
        <v>45343</v>
      </c>
      <c r="G1270" t="s">
        <v>418</v>
      </c>
      <c r="H1270" s="2">
        <v>409.79</v>
      </c>
      <c r="I1270" t="s">
        <v>25</v>
      </c>
      <c r="J1270" t="s">
        <v>33</v>
      </c>
      <c r="K1270" t="s">
        <v>16</v>
      </c>
    </row>
    <row r="1271" spans="1:11" x14ac:dyDescent="0.25">
      <c r="A1271" t="s">
        <v>1153</v>
      </c>
      <c r="B1271" t="s">
        <v>1046</v>
      </c>
      <c r="C1271" t="s">
        <v>1154</v>
      </c>
      <c r="D1271">
        <v>717920847</v>
      </c>
      <c r="E1271" t="s">
        <v>9</v>
      </c>
      <c r="F1271" s="1">
        <v>45301</v>
      </c>
      <c r="G1271" t="s">
        <v>440</v>
      </c>
      <c r="H1271" s="2">
        <v>621.88</v>
      </c>
      <c r="I1271" t="s">
        <v>25</v>
      </c>
      <c r="J1271" t="s">
        <v>22</v>
      </c>
      <c r="K1271" t="s">
        <v>16</v>
      </c>
    </row>
    <row r="1272" spans="1:11" x14ac:dyDescent="0.25">
      <c r="A1272" t="s">
        <v>564</v>
      </c>
      <c r="B1272" t="s">
        <v>146</v>
      </c>
      <c r="C1272" t="s">
        <v>565</v>
      </c>
      <c r="D1272">
        <v>907777259</v>
      </c>
      <c r="E1272" t="s">
        <v>9</v>
      </c>
      <c r="F1272" s="1">
        <v>45367</v>
      </c>
      <c r="G1272" t="s">
        <v>10</v>
      </c>
      <c r="H1272" s="2">
        <v>560.08000000000004</v>
      </c>
      <c r="I1272" t="s">
        <v>444</v>
      </c>
      <c r="J1272" t="s">
        <v>36</v>
      </c>
      <c r="K1272" t="s">
        <v>12</v>
      </c>
    </row>
    <row r="1273" spans="1:11" x14ac:dyDescent="0.25">
      <c r="A1273" t="s">
        <v>909</v>
      </c>
      <c r="B1273" t="s">
        <v>284</v>
      </c>
      <c r="C1273" t="s">
        <v>910</v>
      </c>
      <c r="D1273">
        <v>707714744</v>
      </c>
      <c r="E1273" t="s">
        <v>13</v>
      </c>
      <c r="F1273" s="1">
        <v>45226</v>
      </c>
      <c r="G1273" t="s">
        <v>451</v>
      </c>
      <c r="H1273" s="2">
        <v>669.98</v>
      </c>
      <c r="I1273" t="s">
        <v>444</v>
      </c>
      <c r="J1273" t="s">
        <v>22</v>
      </c>
      <c r="K1273" t="s">
        <v>12</v>
      </c>
    </row>
    <row r="1274" spans="1:11" x14ac:dyDescent="0.25">
      <c r="A1274" t="s">
        <v>1292</v>
      </c>
      <c r="B1274" t="s">
        <v>1293</v>
      </c>
      <c r="C1274" t="s">
        <v>1294</v>
      </c>
      <c r="D1274">
        <v>660996978</v>
      </c>
      <c r="E1274" t="s">
        <v>18</v>
      </c>
      <c r="F1274" s="1">
        <v>45232</v>
      </c>
      <c r="G1274" t="s">
        <v>14</v>
      </c>
      <c r="H1274" s="2">
        <v>1880.01</v>
      </c>
      <c r="I1274" t="s">
        <v>25</v>
      </c>
      <c r="J1274" t="s">
        <v>33</v>
      </c>
      <c r="K1274" t="s">
        <v>16</v>
      </c>
    </row>
    <row r="1275" spans="1:11" x14ac:dyDescent="0.25">
      <c r="A1275" t="s">
        <v>1446</v>
      </c>
      <c r="B1275" t="s">
        <v>187</v>
      </c>
      <c r="C1275" t="s">
        <v>1447</v>
      </c>
      <c r="D1275">
        <v>734558868</v>
      </c>
      <c r="E1275" t="s">
        <v>9</v>
      </c>
      <c r="F1275" s="1">
        <v>45654</v>
      </c>
      <c r="G1275" t="s">
        <v>440</v>
      </c>
      <c r="H1275" s="2">
        <v>1904.02</v>
      </c>
      <c r="I1275" t="s">
        <v>444</v>
      </c>
      <c r="J1275" t="s">
        <v>22</v>
      </c>
      <c r="K1275" t="s">
        <v>16</v>
      </c>
    </row>
    <row r="1276" spans="1:11" x14ac:dyDescent="0.25">
      <c r="A1276" t="s">
        <v>1400</v>
      </c>
      <c r="B1276" t="s">
        <v>65</v>
      </c>
      <c r="C1276" t="s">
        <v>1401</v>
      </c>
      <c r="D1276">
        <v>739254068</v>
      </c>
      <c r="E1276" t="s">
        <v>18</v>
      </c>
      <c r="F1276" s="1">
        <v>45445</v>
      </c>
      <c r="G1276" t="s">
        <v>440</v>
      </c>
      <c r="H1276" s="2">
        <v>1790.43</v>
      </c>
      <c r="I1276" t="s">
        <v>25</v>
      </c>
      <c r="J1276" t="s">
        <v>11</v>
      </c>
      <c r="K1276" t="s">
        <v>12</v>
      </c>
    </row>
    <row r="1277" spans="1:11" x14ac:dyDescent="0.25">
      <c r="A1277" t="s">
        <v>618</v>
      </c>
      <c r="B1277" t="s">
        <v>250</v>
      </c>
      <c r="C1277" t="s">
        <v>619</v>
      </c>
      <c r="D1277">
        <v>730582836</v>
      </c>
      <c r="E1277" t="s">
        <v>18</v>
      </c>
      <c r="F1277" s="1">
        <v>45681</v>
      </c>
      <c r="G1277" t="s">
        <v>451</v>
      </c>
      <c r="H1277" s="2">
        <v>232.33</v>
      </c>
      <c r="I1277" t="s">
        <v>25</v>
      </c>
      <c r="J1277" t="s">
        <v>11</v>
      </c>
      <c r="K1277" t="s">
        <v>12</v>
      </c>
    </row>
    <row r="1278" spans="1:11" x14ac:dyDescent="0.25">
      <c r="A1278" t="s">
        <v>705</v>
      </c>
      <c r="B1278" t="s">
        <v>165</v>
      </c>
      <c r="C1278" t="s">
        <v>706</v>
      </c>
      <c r="D1278">
        <v>992824041</v>
      </c>
      <c r="E1278" t="s">
        <v>13</v>
      </c>
      <c r="F1278" s="1">
        <v>45476</v>
      </c>
      <c r="G1278" t="s">
        <v>29</v>
      </c>
      <c r="H1278" s="2">
        <v>1671.44</v>
      </c>
      <c r="I1278" t="s">
        <v>25</v>
      </c>
      <c r="J1278" t="s">
        <v>11</v>
      </c>
      <c r="K1278" t="s">
        <v>12</v>
      </c>
    </row>
    <row r="1279" spans="1:11" x14ac:dyDescent="0.25">
      <c r="A1279" t="s">
        <v>774</v>
      </c>
      <c r="B1279" t="s">
        <v>269</v>
      </c>
      <c r="C1279" t="s">
        <v>775</v>
      </c>
      <c r="D1279">
        <v>741006511</v>
      </c>
      <c r="E1279" t="s">
        <v>9</v>
      </c>
      <c r="F1279" s="1">
        <v>45563</v>
      </c>
      <c r="G1279" t="s">
        <v>451</v>
      </c>
      <c r="H1279" s="2">
        <v>1199.97</v>
      </c>
      <c r="I1279" t="s">
        <v>25</v>
      </c>
      <c r="J1279" t="s">
        <v>22</v>
      </c>
      <c r="K1279" t="s">
        <v>16</v>
      </c>
    </row>
    <row r="1280" spans="1:11" x14ac:dyDescent="0.25">
      <c r="A1280" t="s">
        <v>1448</v>
      </c>
      <c r="B1280" t="s">
        <v>73</v>
      </c>
      <c r="C1280" t="s">
        <v>1449</v>
      </c>
      <c r="D1280">
        <v>707412179</v>
      </c>
      <c r="E1280" t="s">
        <v>18</v>
      </c>
      <c r="F1280" s="1">
        <v>45259</v>
      </c>
      <c r="G1280" t="s">
        <v>423</v>
      </c>
      <c r="H1280" s="2">
        <v>1222.56</v>
      </c>
      <c r="I1280" t="s">
        <v>25</v>
      </c>
      <c r="J1280" t="s">
        <v>11</v>
      </c>
      <c r="K1280" t="s">
        <v>16</v>
      </c>
    </row>
    <row r="1281" spans="1:11" x14ac:dyDescent="0.25">
      <c r="A1281" t="s">
        <v>1448</v>
      </c>
      <c r="B1281" t="s">
        <v>73</v>
      </c>
      <c r="C1281" t="s">
        <v>1449</v>
      </c>
      <c r="D1281">
        <v>707412179</v>
      </c>
      <c r="E1281" t="s">
        <v>18</v>
      </c>
      <c r="F1281" s="1">
        <v>45655</v>
      </c>
      <c r="G1281" t="s">
        <v>423</v>
      </c>
      <c r="H1281" s="2">
        <v>1542.98</v>
      </c>
      <c r="I1281" t="s">
        <v>25</v>
      </c>
      <c r="J1281" t="s">
        <v>11</v>
      </c>
      <c r="K1281" t="s">
        <v>12</v>
      </c>
    </row>
    <row r="1282" spans="1:11" x14ac:dyDescent="0.25">
      <c r="A1282" t="s">
        <v>780</v>
      </c>
      <c r="B1282" t="s">
        <v>205</v>
      </c>
      <c r="C1282" t="s">
        <v>781</v>
      </c>
      <c r="D1282">
        <v>710606110</v>
      </c>
      <c r="E1282" t="s">
        <v>18</v>
      </c>
      <c r="F1282" s="1">
        <v>45366</v>
      </c>
      <c r="G1282" t="s">
        <v>21</v>
      </c>
      <c r="H1282" s="2">
        <v>1838.7</v>
      </c>
      <c r="I1282" t="s">
        <v>25</v>
      </c>
      <c r="J1282" t="s">
        <v>11</v>
      </c>
      <c r="K1282" t="s">
        <v>12</v>
      </c>
    </row>
    <row r="1283" spans="1:11" x14ac:dyDescent="0.25">
      <c r="A1283" t="s">
        <v>808</v>
      </c>
      <c r="B1283" t="s">
        <v>578</v>
      </c>
      <c r="C1283" t="s">
        <v>809</v>
      </c>
      <c r="D1283">
        <v>741558653</v>
      </c>
      <c r="E1283" t="s">
        <v>9</v>
      </c>
      <c r="F1283" s="1">
        <v>45251</v>
      </c>
      <c r="G1283" t="s">
        <v>14</v>
      </c>
      <c r="H1283" s="2">
        <v>1651.12</v>
      </c>
      <c r="I1283" t="s">
        <v>25</v>
      </c>
      <c r="J1283" t="s">
        <v>33</v>
      </c>
      <c r="K1283" t="s">
        <v>16</v>
      </c>
    </row>
    <row r="1284" spans="1:11" x14ac:dyDescent="0.25">
      <c r="A1284" t="s">
        <v>841</v>
      </c>
      <c r="B1284" t="s">
        <v>275</v>
      </c>
      <c r="C1284" t="s">
        <v>842</v>
      </c>
      <c r="D1284">
        <v>709339074</v>
      </c>
      <c r="E1284" t="s">
        <v>9</v>
      </c>
      <c r="F1284" s="1">
        <v>45894</v>
      </c>
      <c r="G1284" t="s">
        <v>460</v>
      </c>
      <c r="H1284" s="2">
        <v>1063.45</v>
      </c>
      <c r="I1284" t="s">
        <v>25</v>
      </c>
      <c r="J1284" t="s">
        <v>33</v>
      </c>
      <c r="K1284" t="s">
        <v>12</v>
      </c>
    </row>
    <row r="1285" spans="1:11" x14ac:dyDescent="0.25">
      <c r="A1285" t="s">
        <v>1164</v>
      </c>
      <c r="B1285" t="s">
        <v>406</v>
      </c>
      <c r="C1285" t="s">
        <v>1165</v>
      </c>
      <c r="D1285">
        <v>742320022</v>
      </c>
      <c r="E1285" t="s">
        <v>9</v>
      </c>
      <c r="F1285" s="1">
        <v>45630</v>
      </c>
      <c r="G1285" t="s">
        <v>19</v>
      </c>
      <c r="H1285" s="2">
        <v>89.84</v>
      </c>
      <c r="I1285" t="s">
        <v>25</v>
      </c>
      <c r="J1285" t="s">
        <v>15</v>
      </c>
      <c r="K1285" t="s">
        <v>12</v>
      </c>
    </row>
    <row r="1286" spans="1:11" x14ac:dyDescent="0.25">
      <c r="A1286" t="s">
        <v>1192</v>
      </c>
      <c r="B1286" t="s">
        <v>372</v>
      </c>
      <c r="C1286" t="s">
        <v>1193</v>
      </c>
      <c r="D1286">
        <v>722844692</v>
      </c>
      <c r="E1286" t="s">
        <v>18</v>
      </c>
      <c r="F1286" s="1">
        <v>45299</v>
      </c>
      <c r="G1286" t="s">
        <v>478</v>
      </c>
      <c r="H1286" s="2">
        <v>781.01</v>
      </c>
      <c r="I1286" t="s">
        <v>25</v>
      </c>
      <c r="J1286" t="s">
        <v>11</v>
      </c>
      <c r="K1286" t="s">
        <v>16</v>
      </c>
    </row>
    <row r="1287" spans="1:11" x14ac:dyDescent="0.25">
      <c r="A1287" t="s">
        <v>1450</v>
      </c>
      <c r="B1287" t="s">
        <v>85</v>
      </c>
      <c r="C1287" t="s">
        <v>1451</v>
      </c>
      <c r="D1287">
        <v>962917290</v>
      </c>
      <c r="E1287" t="s">
        <v>9</v>
      </c>
      <c r="F1287" s="1">
        <v>45241</v>
      </c>
      <c r="G1287" t="s">
        <v>39</v>
      </c>
      <c r="H1287" s="2">
        <v>264.22000000000003</v>
      </c>
      <c r="I1287" t="s">
        <v>444</v>
      </c>
      <c r="J1287" t="s">
        <v>11</v>
      </c>
      <c r="K1287" t="s">
        <v>12</v>
      </c>
    </row>
    <row r="1288" spans="1:11" x14ac:dyDescent="0.25">
      <c r="A1288" t="s">
        <v>984</v>
      </c>
      <c r="B1288" t="s">
        <v>132</v>
      </c>
      <c r="C1288" t="s">
        <v>985</v>
      </c>
      <c r="D1288">
        <v>738803125</v>
      </c>
      <c r="E1288" t="s">
        <v>9</v>
      </c>
      <c r="F1288" s="1">
        <v>45706</v>
      </c>
      <c r="G1288" t="s">
        <v>415</v>
      </c>
      <c r="H1288" s="2">
        <v>680.66</v>
      </c>
      <c r="I1288" t="s">
        <v>25</v>
      </c>
      <c r="J1288" t="s">
        <v>22</v>
      </c>
      <c r="K1288" t="s">
        <v>16</v>
      </c>
    </row>
    <row r="1289" spans="1:11" x14ac:dyDescent="0.25">
      <c r="A1289" t="s">
        <v>1338</v>
      </c>
      <c r="B1289" t="s">
        <v>350</v>
      </c>
      <c r="C1289" t="s">
        <v>1339</v>
      </c>
      <c r="D1289">
        <v>713916093</v>
      </c>
      <c r="E1289" t="s">
        <v>9</v>
      </c>
      <c r="F1289" s="1">
        <v>45221</v>
      </c>
      <c r="G1289" t="s">
        <v>423</v>
      </c>
      <c r="H1289" s="2">
        <v>864.87</v>
      </c>
      <c r="I1289" t="s">
        <v>25</v>
      </c>
      <c r="J1289" t="s">
        <v>33</v>
      </c>
      <c r="K1289" t="s">
        <v>12</v>
      </c>
    </row>
    <row r="1290" spans="1:11" x14ac:dyDescent="0.25">
      <c r="A1290" t="s">
        <v>1452</v>
      </c>
      <c r="B1290" t="s">
        <v>109</v>
      </c>
      <c r="C1290" t="s">
        <v>1453</v>
      </c>
      <c r="D1290">
        <v>725811590</v>
      </c>
      <c r="E1290" t="s">
        <v>9</v>
      </c>
      <c r="F1290" s="1">
        <v>45713</v>
      </c>
      <c r="G1290" t="s">
        <v>440</v>
      </c>
      <c r="H1290" s="2">
        <v>1003.87</v>
      </c>
      <c r="I1290" t="s">
        <v>25</v>
      </c>
      <c r="J1290" t="s">
        <v>33</v>
      </c>
      <c r="K1290" t="s">
        <v>12</v>
      </c>
    </row>
    <row r="1291" spans="1:11" x14ac:dyDescent="0.25">
      <c r="A1291" t="s">
        <v>1284</v>
      </c>
      <c r="B1291" t="s">
        <v>103</v>
      </c>
      <c r="C1291" t="s">
        <v>1285</v>
      </c>
      <c r="D1291">
        <v>714491763</v>
      </c>
      <c r="E1291" t="s">
        <v>18</v>
      </c>
      <c r="F1291" s="1">
        <v>45860</v>
      </c>
      <c r="G1291" t="s">
        <v>35</v>
      </c>
      <c r="H1291" s="2">
        <v>1212.8900000000001</v>
      </c>
      <c r="I1291" t="s">
        <v>25</v>
      </c>
      <c r="J1291" t="s">
        <v>11</v>
      </c>
      <c r="K1291" t="s">
        <v>12</v>
      </c>
    </row>
    <row r="1292" spans="1:11" x14ac:dyDescent="0.25">
      <c r="A1292" t="s">
        <v>1170</v>
      </c>
      <c r="B1292" t="s">
        <v>93</v>
      </c>
      <c r="C1292" t="s">
        <v>1171</v>
      </c>
      <c r="D1292">
        <v>735688259</v>
      </c>
      <c r="E1292" t="s">
        <v>9</v>
      </c>
      <c r="F1292" s="1">
        <v>45553</v>
      </c>
      <c r="G1292" t="s">
        <v>29</v>
      </c>
      <c r="H1292" s="2">
        <v>1603.81</v>
      </c>
      <c r="I1292" t="s">
        <v>25</v>
      </c>
      <c r="J1292" t="s">
        <v>11</v>
      </c>
      <c r="K1292" t="s">
        <v>16</v>
      </c>
    </row>
    <row r="1293" spans="1:11" x14ac:dyDescent="0.25">
      <c r="A1293" t="s">
        <v>699</v>
      </c>
      <c r="B1293" t="s">
        <v>167</v>
      </c>
      <c r="C1293" t="s">
        <v>700</v>
      </c>
      <c r="D1293">
        <v>734216317</v>
      </c>
      <c r="E1293" t="s">
        <v>9</v>
      </c>
      <c r="F1293" s="1">
        <v>45827</v>
      </c>
      <c r="G1293" t="s">
        <v>475</v>
      </c>
      <c r="H1293" s="2">
        <v>1716.92</v>
      </c>
      <c r="I1293" t="s">
        <v>25</v>
      </c>
      <c r="J1293" t="s">
        <v>22</v>
      </c>
      <c r="K1293" t="s">
        <v>16</v>
      </c>
    </row>
    <row r="1294" spans="1:11" x14ac:dyDescent="0.25">
      <c r="A1294" t="s">
        <v>1249</v>
      </c>
      <c r="B1294" t="s">
        <v>211</v>
      </c>
      <c r="C1294" t="s">
        <v>1250</v>
      </c>
      <c r="D1294">
        <v>743281688</v>
      </c>
      <c r="E1294" t="s">
        <v>18</v>
      </c>
      <c r="F1294" s="1">
        <v>45236</v>
      </c>
      <c r="G1294" t="s">
        <v>10</v>
      </c>
      <c r="H1294" s="2">
        <v>1868.49</v>
      </c>
      <c r="I1294" t="s">
        <v>25</v>
      </c>
      <c r="J1294" t="s">
        <v>33</v>
      </c>
      <c r="K1294" t="s">
        <v>12</v>
      </c>
    </row>
    <row r="1295" spans="1:11" x14ac:dyDescent="0.25">
      <c r="A1295" t="s">
        <v>454</v>
      </c>
      <c r="B1295" t="s">
        <v>262</v>
      </c>
      <c r="C1295" t="s">
        <v>455</v>
      </c>
      <c r="D1295">
        <v>879596240</v>
      </c>
      <c r="E1295" t="s">
        <v>13</v>
      </c>
      <c r="F1295" s="1">
        <v>45639</v>
      </c>
      <c r="G1295" t="s">
        <v>14</v>
      </c>
      <c r="H1295" s="2">
        <v>1575.57</v>
      </c>
      <c r="I1295" t="s">
        <v>25</v>
      </c>
      <c r="J1295" t="s">
        <v>33</v>
      </c>
      <c r="K1295" t="s">
        <v>12</v>
      </c>
    </row>
    <row r="1296" spans="1:11" x14ac:dyDescent="0.25">
      <c r="A1296" t="s">
        <v>1239</v>
      </c>
      <c r="B1296" t="s">
        <v>201</v>
      </c>
      <c r="C1296" t="s">
        <v>1240</v>
      </c>
      <c r="D1296">
        <v>715969206</v>
      </c>
      <c r="E1296" t="s">
        <v>18</v>
      </c>
      <c r="F1296" s="1">
        <v>45721</v>
      </c>
      <c r="G1296" t="s">
        <v>415</v>
      </c>
      <c r="H1296" s="2">
        <v>1549.19</v>
      </c>
      <c r="I1296" t="s">
        <v>25</v>
      </c>
      <c r="J1296" t="s">
        <v>11</v>
      </c>
      <c r="K1296" t="s">
        <v>16</v>
      </c>
    </row>
    <row r="1297" spans="1:11" x14ac:dyDescent="0.25">
      <c r="A1297" t="s">
        <v>669</v>
      </c>
      <c r="B1297" t="s">
        <v>95</v>
      </c>
      <c r="C1297" t="s">
        <v>670</v>
      </c>
      <c r="D1297">
        <v>749984420</v>
      </c>
      <c r="E1297" t="s">
        <v>9</v>
      </c>
      <c r="F1297" s="1">
        <v>45360</v>
      </c>
      <c r="G1297" t="s">
        <v>518</v>
      </c>
      <c r="H1297" s="2">
        <v>1437.66</v>
      </c>
      <c r="I1297" t="s">
        <v>25</v>
      </c>
      <c r="J1297" t="s">
        <v>22</v>
      </c>
      <c r="K1297" t="s">
        <v>16</v>
      </c>
    </row>
    <row r="1298" spans="1:11" x14ac:dyDescent="0.25">
      <c r="A1298" t="s">
        <v>915</v>
      </c>
      <c r="B1298" t="s">
        <v>300</v>
      </c>
      <c r="C1298" t="s">
        <v>916</v>
      </c>
      <c r="D1298">
        <v>738611121</v>
      </c>
      <c r="E1298" t="s">
        <v>9</v>
      </c>
      <c r="F1298" s="1">
        <v>45559</v>
      </c>
      <c r="G1298" t="s">
        <v>506</v>
      </c>
      <c r="H1298" s="2">
        <v>179.38</v>
      </c>
      <c r="I1298" t="s">
        <v>444</v>
      </c>
      <c r="J1298" t="s">
        <v>22</v>
      </c>
      <c r="K1298" t="s">
        <v>16</v>
      </c>
    </row>
    <row r="1299" spans="1:11" x14ac:dyDescent="0.25">
      <c r="A1299" t="s">
        <v>1454</v>
      </c>
      <c r="B1299" t="s">
        <v>125</v>
      </c>
      <c r="C1299" t="s">
        <v>1455</v>
      </c>
      <c r="D1299">
        <v>718769258</v>
      </c>
      <c r="E1299" t="s">
        <v>18</v>
      </c>
      <c r="F1299" s="1">
        <v>45505</v>
      </c>
      <c r="G1299" t="s">
        <v>35</v>
      </c>
      <c r="H1299" s="2">
        <v>782.76</v>
      </c>
      <c r="I1299" t="s">
        <v>25</v>
      </c>
      <c r="J1299" t="s">
        <v>26</v>
      </c>
      <c r="K1299" t="s">
        <v>12</v>
      </c>
    </row>
    <row r="1300" spans="1:11" x14ac:dyDescent="0.25">
      <c r="A1300" t="s">
        <v>504</v>
      </c>
      <c r="B1300" t="s">
        <v>178</v>
      </c>
      <c r="C1300" t="s">
        <v>505</v>
      </c>
      <c r="D1300">
        <v>733805530</v>
      </c>
      <c r="E1300" t="s">
        <v>18</v>
      </c>
      <c r="F1300" s="1">
        <v>45588</v>
      </c>
      <c r="G1300" t="s">
        <v>506</v>
      </c>
      <c r="H1300" s="2">
        <v>777.61</v>
      </c>
      <c r="I1300" t="s">
        <v>25</v>
      </c>
      <c r="J1300" t="s">
        <v>11</v>
      </c>
      <c r="K1300" t="s">
        <v>16</v>
      </c>
    </row>
    <row r="1301" spans="1:11" x14ac:dyDescent="0.25">
      <c r="A1301" t="s">
        <v>905</v>
      </c>
      <c r="B1301" t="s">
        <v>275</v>
      </c>
      <c r="C1301" t="s">
        <v>906</v>
      </c>
      <c r="D1301">
        <v>907022641</v>
      </c>
      <c r="E1301" t="s">
        <v>9</v>
      </c>
      <c r="F1301" s="1">
        <v>45365</v>
      </c>
      <c r="G1301" t="s">
        <v>21</v>
      </c>
      <c r="H1301" s="2">
        <v>1330.77</v>
      </c>
      <c r="I1301" t="s">
        <v>25</v>
      </c>
      <c r="J1301" t="s">
        <v>26</v>
      </c>
      <c r="K1301" t="s">
        <v>16</v>
      </c>
    </row>
    <row r="1302" spans="1:11" x14ac:dyDescent="0.25">
      <c r="A1302" t="s">
        <v>1000</v>
      </c>
      <c r="B1302" t="s">
        <v>240</v>
      </c>
      <c r="C1302" t="s">
        <v>1001</v>
      </c>
      <c r="D1302">
        <v>905498813</v>
      </c>
      <c r="E1302" t="s">
        <v>9</v>
      </c>
      <c r="F1302" s="1">
        <v>45372</v>
      </c>
      <c r="G1302" t="s">
        <v>29</v>
      </c>
      <c r="H1302" s="2">
        <v>226.33</v>
      </c>
      <c r="I1302" t="s">
        <v>25</v>
      </c>
      <c r="J1302" t="s">
        <v>22</v>
      </c>
      <c r="K1302" t="s">
        <v>12</v>
      </c>
    </row>
    <row r="1303" spans="1:11" x14ac:dyDescent="0.25">
      <c r="A1303" t="s">
        <v>479</v>
      </c>
      <c r="B1303" t="s">
        <v>480</v>
      </c>
      <c r="C1303" t="s">
        <v>481</v>
      </c>
      <c r="D1303">
        <v>727899933</v>
      </c>
      <c r="E1303" t="s">
        <v>18</v>
      </c>
      <c r="F1303" s="1">
        <v>45582</v>
      </c>
      <c r="G1303" t="s">
        <v>443</v>
      </c>
      <c r="H1303" s="2">
        <v>1937.61</v>
      </c>
      <c r="I1303" t="s">
        <v>25</v>
      </c>
      <c r="J1303" t="s">
        <v>11</v>
      </c>
      <c r="K1303" t="s">
        <v>12</v>
      </c>
    </row>
    <row r="1304" spans="1:11" x14ac:dyDescent="0.25">
      <c r="A1304" t="s">
        <v>1232</v>
      </c>
      <c r="B1304" t="s">
        <v>82</v>
      </c>
      <c r="C1304" t="s">
        <v>1233</v>
      </c>
      <c r="D1304">
        <v>879206409</v>
      </c>
      <c r="E1304" t="s">
        <v>9</v>
      </c>
      <c r="F1304" s="1">
        <v>45632</v>
      </c>
      <c r="G1304" t="s">
        <v>415</v>
      </c>
      <c r="H1304" s="2">
        <v>66.95</v>
      </c>
      <c r="I1304" t="s">
        <v>25</v>
      </c>
      <c r="J1304" t="s">
        <v>22</v>
      </c>
      <c r="K1304" t="s">
        <v>12</v>
      </c>
    </row>
    <row r="1305" spans="1:11" x14ac:dyDescent="0.25">
      <c r="A1305" t="s">
        <v>1224</v>
      </c>
      <c r="B1305" t="s">
        <v>326</v>
      </c>
      <c r="C1305" t="s">
        <v>1225</v>
      </c>
      <c r="D1305">
        <v>748518150</v>
      </c>
      <c r="E1305" t="s">
        <v>18</v>
      </c>
      <c r="F1305" s="1">
        <v>45529</v>
      </c>
      <c r="G1305" t="s">
        <v>24</v>
      </c>
      <c r="H1305" s="2">
        <v>1646.6</v>
      </c>
      <c r="I1305" t="s">
        <v>25</v>
      </c>
      <c r="J1305" t="s">
        <v>36</v>
      </c>
      <c r="K1305" t="s">
        <v>16</v>
      </c>
    </row>
    <row r="1306" spans="1:11" x14ac:dyDescent="0.25">
      <c r="A1306" t="s">
        <v>1115</v>
      </c>
      <c r="B1306" t="s">
        <v>140</v>
      </c>
      <c r="C1306" t="s">
        <v>1116</v>
      </c>
      <c r="D1306">
        <v>827325070</v>
      </c>
      <c r="E1306" t="s">
        <v>9</v>
      </c>
      <c r="F1306" s="1">
        <v>45215</v>
      </c>
      <c r="G1306" t="s">
        <v>10</v>
      </c>
      <c r="H1306" s="2">
        <v>707.13</v>
      </c>
      <c r="I1306" t="s">
        <v>25</v>
      </c>
      <c r="J1306" t="s">
        <v>33</v>
      </c>
      <c r="K1306" t="s">
        <v>12</v>
      </c>
    </row>
    <row r="1307" spans="1:11" x14ac:dyDescent="0.25">
      <c r="A1307" t="s">
        <v>1259</v>
      </c>
      <c r="B1307" t="s">
        <v>76</v>
      </c>
      <c r="C1307" t="s">
        <v>1260</v>
      </c>
      <c r="D1307">
        <v>942844383</v>
      </c>
      <c r="E1307" t="s">
        <v>9</v>
      </c>
      <c r="F1307" s="1">
        <v>45743</v>
      </c>
      <c r="G1307" t="s">
        <v>32</v>
      </c>
      <c r="H1307" s="2">
        <v>291.86</v>
      </c>
      <c r="I1307" t="s">
        <v>25</v>
      </c>
      <c r="J1307" t="s">
        <v>22</v>
      </c>
      <c r="K1307" t="s">
        <v>12</v>
      </c>
    </row>
    <row r="1308" spans="1:11" x14ac:dyDescent="0.25">
      <c r="A1308" t="s">
        <v>715</v>
      </c>
      <c r="B1308" t="s">
        <v>202</v>
      </c>
      <c r="C1308" t="s">
        <v>716</v>
      </c>
      <c r="D1308">
        <v>652976786</v>
      </c>
      <c r="E1308" t="s">
        <v>18</v>
      </c>
      <c r="F1308" s="1">
        <v>45702</v>
      </c>
      <c r="G1308" t="s">
        <v>443</v>
      </c>
      <c r="H1308" s="2">
        <v>718.27</v>
      </c>
      <c r="I1308" t="s">
        <v>444</v>
      </c>
      <c r="J1308" t="s">
        <v>11</v>
      </c>
      <c r="K1308" t="s">
        <v>12</v>
      </c>
    </row>
    <row r="1309" spans="1:11" x14ac:dyDescent="0.25">
      <c r="A1309" t="s">
        <v>1054</v>
      </c>
      <c r="B1309" t="s">
        <v>312</v>
      </c>
      <c r="C1309" t="s">
        <v>1055</v>
      </c>
      <c r="D1309">
        <v>742903473</v>
      </c>
      <c r="E1309" t="s">
        <v>9</v>
      </c>
      <c r="F1309" s="1">
        <v>45904</v>
      </c>
      <c r="G1309" t="s">
        <v>418</v>
      </c>
      <c r="H1309" s="2">
        <v>156.19999999999999</v>
      </c>
      <c r="I1309" t="s">
        <v>444</v>
      </c>
      <c r="J1309" t="s">
        <v>33</v>
      </c>
      <c r="K1309" t="s">
        <v>12</v>
      </c>
    </row>
    <row r="1310" spans="1:11" x14ac:dyDescent="0.25">
      <c r="A1310" t="s">
        <v>1394</v>
      </c>
      <c r="B1310" t="s">
        <v>112</v>
      </c>
      <c r="C1310" t="s">
        <v>1395</v>
      </c>
      <c r="D1310">
        <v>812915735</v>
      </c>
      <c r="E1310" t="s">
        <v>9</v>
      </c>
      <c r="F1310" s="1">
        <v>45183</v>
      </c>
      <c r="G1310" t="s">
        <v>423</v>
      </c>
      <c r="H1310" s="2">
        <v>1477.12</v>
      </c>
      <c r="I1310" t="s">
        <v>444</v>
      </c>
      <c r="J1310" t="s">
        <v>33</v>
      </c>
      <c r="K1310" t="s">
        <v>16</v>
      </c>
    </row>
    <row r="1311" spans="1:11" x14ac:dyDescent="0.25">
      <c r="A1311" t="s">
        <v>664</v>
      </c>
      <c r="B1311" t="s">
        <v>80</v>
      </c>
      <c r="C1311" t="s">
        <v>665</v>
      </c>
      <c r="D1311">
        <v>622023254</v>
      </c>
      <c r="E1311" t="s">
        <v>9</v>
      </c>
      <c r="F1311" s="1">
        <v>45490</v>
      </c>
      <c r="G1311" t="s">
        <v>32</v>
      </c>
      <c r="H1311" s="2">
        <v>396.9</v>
      </c>
      <c r="I1311" t="s">
        <v>25</v>
      </c>
      <c r="J1311" t="s">
        <v>36</v>
      </c>
      <c r="K1311" t="s">
        <v>12</v>
      </c>
    </row>
    <row r="1312" spans="1:11" x14ac:dyDescent="0.25">
      <c r="A1312" t="s">
        <v>885</v>
      </c>
      <c r="B1312" t="s">
        <v>30</v>
      </c>
      <c r="C1312" t="s">
        <v>886</v>
      </c>
      <c r="D1312">
        <v>740872409</v>
      </c>
      <c r="E1312" t="s">
        <v>18</v>
      </c>
      <c r="F1312" s="1">
        <v>45711</v>
      </c>
      <c r="G1312" t="s">
        <v>32</v>
      </c>
      <c r="H1312" s="2">
        <v>1080.3</v>
      </c>
      <c r="I1312" t="s">
        <v>25</v>
      </c>
      <c r="J1312" t="s">
        <v>11</v>
      </c>
      <c r="K1312" t="s">
        <v>12</v>
      </c>
    </row>
    <row r="1313" spans="1:11" x14ac:dyDescent="0.25">
      <c r="A1313" t="s">
        <v>1456</v>
      </c>
      <c r="B1313" t="s">
        <v>286</v>
      </c>
      <c r="C1313" t="s">
        <v>1457</v>
      </c>
      <c r="D1313">
        <v>701994687</v>
      </c>
      <c r="E1313" t="s">
        <v>13</v>
      </c>
      <c r="F1313" s="1">
        <v>45698</v>
      </c>
      <c r="G1313" t="s">
        <v>624</v>
      </c>
      <c r="H1313" s="2">
        <v>1239.4100000000001</v>
      </c>
      <c r="I1313" t="s">
        <v>25</v>
      </c>
      <c r="J1313" t="s">
        <v>22</v>
      </c>
      <c r="K1313" t="s">
        <v>12</v>
      </c>
    </row>
    <row r="1314" spans="1:11" x14ac:dyDescent="0.25">
      <c r="A1314" t="s">
        <v>800</v>
      </c>
      <c r="B1314" t="s">
        <v>281</v>
      </c>
      <c r="C1314" t="s">
        <v>801</v>
      </c>
      <c r="D1314">
        <v>737403719</v>
      </c>
      <c r="E1314" t="s">
        <v>18</v>
      </c>
      <c r="F1314" s="1">
        <v>45780</v>
      </c>
      <c r="G1314" t="s">
        <v>19</v>
      </c>
      <c r="H1314" s="2">
        <v>1153.67</v>
      </c>
      <c r="I1314" t="s">
        <v>25</v>
      </c>
      <c r="J1314" t="s">
        <v>11</v>
      </c>
      <c r="K1314" t="s">
        <v>16</v>
      </c>
    </row>
    <row r="1315" spans="1:11" x14ac:dyDescent="0.25">
      <c r="A1315" t="s">
        <v>1432</v>
      </c>
      <c r="B1315" t="s">
        <v>291</v>
      </c>
      <c r="C1315" t="s">
        <v>1433</v>
      </c>
      <c r="D1315">
        <v>724781608</v>
      </c>
      <c r="E1315" t="s">
        <v>9</v>
      </c>
      <c r="F1315" s="1">
        <v>45676</v>
      </c>
      <c r="G1315" t="s">
        <v>35</v>
      </c>
      <c r="H1315" s="2">
        <v>614.58000000000004</v>
      </c>
      <c r="I1315" t="s">
        <v>25</v>
      </c>
      <c r="J1315" t="s">
        <v>11</v>
      </c>
      <c r="K1315" t="s">
        <v>12</v>
      </c>
    </row>
    <row r="1316" spans="1:11" x14ac:dyDescent="0.25">
      <c r="A1316" t="s">
        <v>1014</v>
      </c>
      <c r="B1316" t="s">
        <v>120</v>
      </c>
      <c r="C1316" t="s">
        <v>1015</v>
      </c>
      <c r="D1316">
        <v>701325298</v>
      </c>
      <c r="E1316" t="s">
        <v>9</v>
      </c>
      <c r="F1316" s="1">
        <v>45232</v>
      </c>
      <c r="G1316" t="s">
        <v>440</v>
      </c>
      <c r="H1316" s="2">
        <v>236.24</v>
      </c>
      <c r="I1316" t="s">
        <v>25</v>
      </c>
      <c r="J1316" t="s">
        <v>22</v>
      </c>
      <c r="K1316" t="s">
        <v>16</v>
      </c>
    </row>
    <row r="1317" spans="1:11" x14ac:dyDescent="0.25">
      <c r="A1317" t="s">
        <v>438</v>
      </c>
      <c r="B1317" t="s">
        <v>153</v>
      </c>
      <c r="C1317" t="s">
        <v>439</v>
      </c>
      <c r="D1317">
        <v>734311637</v>
      </c>
      <c r="E1317" t="s">
        <v>9</v>
      </c>
      <c r="F1317" s="1">
        <v>45371</v>
      </c>
      <c r="G1317" t="s">
        <v>440</v>
      </c>
      <c r="H1317" s="2">
        <v>11.14</v>
      </c>
      <c r="I1317" t="s">
        <v>25</v>
      </c>
      <c r="J1317" t="s">
        <v>26</v>
      </c>
      <c r="K1317" t="s">
        <v>12</v>
      </c>
    </row>
    <row r="1318" spans="1:11" x14ac:dyDescent="0.25">
      <c r="A1318" t="s">
        <v>974</v>
      </c>
      <c r="B1318" t="s">
        <v>199</v>
      </c>
      <c r="C1318" t="s">
        <v>975</v>
      </c>
      <c r="D1318">
        <v>731372618</v>
      </c>
      <c r="E1318" t="s">
        <v>9</v>
      </c>
      <c r="F1318" s="1">
        <v>45779</v>
      </c>
      <c r="G1318" t="s">
        <v>418</v>
      </c>
      <c r="H1318" s="2">
        <v>587.08000000000004</v>
      </c>
      <c r="I1318" t="s">
        <v>25</v>
      </c>
      <c r="J1318" t="s">
        <v>22</v>
      </c>
      <c r="K1318" t="s">
        <v>12</v>
      </c>
    </row>
    <row r="1319" spans="1:11" x14ac:dyDescent="0.25">
      <c r="A1319" t="s">
        <v>822</v>
      </c>
      <c r="B1319" t="s">
        <v>392</v>
      </c>
      <c r="C1319" t="s">
        <v>823</v>
      </c>
      <c r="D1319">
        <v>725966550</v>
      </c>
      <c r="E1319" t="s">
        <v>9</v>
      </c>
      <c r="F1319" s="1">
        <v>45433</v>
      </c>
      <c r="G1319" t="s">
        <v>10</v>
      </c>
      <c r="H1319" s="2">
        <v>1603.81</v>
      </c>
      <c r="I1319" t="s">
        <v>25</v>
      </c>
      <c r="J1319" t="s">
        <v>36</v>
      </c>
      <c r="K1319" t="s">
        <v>12</v>
      </c>
    </row>
    <row r="1320" spans="1:11" x14ac:dyDescent="0.25">
      <c r="A1320" t="s">
        <v>689</v>
      </c>
      <c r="B1320" t="s">
        <v>402</v>
      </c>
      <c r="C1320" t="s">
        <v>690</v>
      </c>
      <c r="D1320">
        <v>710265150</v>
      </c>
      <c r="E1320" t="s">
        <v>18</v>
      </c>
      <c r="F1320" s="1">
        <v>45470</v>
      </c>
      <c r="G1320" t="s">
        <v>24</v>
      </c>
      <c r="H1320" s="2">
        <v>107.62</v>
      </c>
      <c r="I1320" t="s">
        <v>25</v>
      </c>
      <c r="J1320" t="s">
        <v>26</v>
      </c>
      <c r="K1320" t="s">
        <v>16</v>
      </c>
    </row>
    <row r="1321" spans="1:11" x14ac:dyDescent="0.25">
      <c r="A1321" t="s">
        <v>456</v>
      </c>
      <c r="B1321" t="s">
        <v>206</v>
      </c>
      <c r="C1321" t="s">
        <v>457</v>
      </c>
      <c r="D1321">
        <v>719563621</v>
      </c>
      <c r="E1321" t="s">
        <v>18</v>
      </c>
      <c r="F1321" s="1">
        <v>45440</v>
      </c>
      <c r="G1321" t="s">
        <v>35</v>
      </c>
      <c r="H1321" s="2">
        <v>1573.66</v>
      </c>
      <c r="I1321" t="s">
        <v>25</v>
      </c>
      <c r="J1321" t="s">
        <v>15</v>
      </c>
      <c r="K1321" t="s">
        <v>12</v>
      </c>
    </row>
    <row r="1322" spans="1:11" x14ac:dyDescent="0.25">
      <c r="A1322" t="s">
        <v>1032</v>
      </c>
      <c r="B1322" t="s">
        <v>382</v>
      </c>
      <c r="C1322" t="s">
        <v>1033</v>
      </c>
      <c r="D1322">
        <v>869663629</v>
      </c>
      <c r="E1322" t="s">
        <v>9</v>
      </c>
      <c r="F1322" s="1">
        <v>45380</v>
      </c>
      <c r="G1322" t="s">
        <v>518</v>
      </c>
      <c r="H1322" s="2">
        <v>715.36</v>
      </c>
      <c r="I1322" t="s">
        <v>25</v>
      </c>
      <c r="J1322" t="s">
        <v>36</v>
      </c>
      <c r="K1322" t="s">
        <v>16</v>
      </c>
    </row>
    <row r="1323" spans="1:11" x14ac:dyDescent="0.25">
      <c r="A1323" t="s">
        <v>715</v>
      </c>
      <c r="B1323" t="s">
        <v>202</v>
      </c>
      <c r="C1323" t="s">
        <v>716</v>
      </c>
      <c r="D1323">
        <v>652976786</v>
      </c>
      <c r="E1323" t="s">
        <v>18</v>
      </c>
      <c r="F1323" s="1">
        <v>45486</v>
      </c>
      <c r="G1323" t="s">
        <v>443</v>
      </c>
      <c r="H1323" s="2">
        <v>1258.67</v>
      </c>
      <c r="I1323" t="s">
        <v>507</v>
      </c>
      <c r="J1323" t="s">
        <v>22</v>
      </c>
      <c r="K1323" t="s">
        <v>12</v>
      </c>
    </row>
    <row r="1324" spans="1:11" x14ac:dyDescent="0.25">
      <c r="A1324" t="s">
        <v>545</v>
      </c>
      <c r="B1324" t="s">
        <v>334</v>
      </c>
      <c r="C1324" t="s">
        <v>546</v>
      </c>
      <c r="D1324">
        <v>739112559</v>
      </c>
      <c r="E1324" t="s">
        <v>9</v>
      </c>
      <c r="F1324" s="1">
        <v>45625</v>
      </c>
      <c r="G1324" t="s">
        <v>443</v>
      </c>
      <c r="H1324" s="2">
        <v>698.74</v>
      </c>
      <c r="I1324" t="s">
        <v>25</v>
      </c>
      <c r="J1324" t="s">
        <v>22</v>
      </c>
      <c r="K1324" t="s">
        <v>16</v>
      </c>
    </row>
    <row r="1325" spans="1:11" x14ac:dyDescent="0.25">
      <c r="A1325" t="s">
        <v>1074</v>
      </c>
      <c r="B1325" t="s">
        <v>84</v>
      </c>
      <c r="C1325" t="s">
        <v>1075</v>
      </c>
      <c r="D1325">
        <v>677172506</v>
      </c>
      <c r="E1325" t="s">
        <v>9</v>
      </c>
      <c r="F1325" s="1">
        <v>45742</v>
      </c>
      <c r="G1325" t="s">
        <v>14</v>
      </c>
      <c r="H1325" s="2">
        <v>730.78</v>
      </c>
      <c r="I1325" t="s">
        <v>25</v>
      </c>
      <c r="J1325" t="s">
        <v>33</v>
      </c>
      <c r="K1325" t="s">
        <v>16</v>
      </c>
    </row>
    <row r="1326" spans="1:11" x14ac:dyDescent="0.25">
      <c r="A1326" t="s">
        <v>691</v>
      </c>
      <c r="B1326" t="s">
        <v>361</v>
      </c>
      <c r="C1326" t="s">
        <v>692</v>
      </c>
      <c r="D1326">
        <v>653146228</v>
      </c>
      <c r="E1326" t="s">
        <v>18</v>
      </c>
      <c r="F1326" s="1">
        <v>45253</v>
      </c>
      <c r="G1326" t="s">
        <v>460</v>
      </c>
      <c r="H1326" s="2">
        <v>836.61</v>
      </c>
      <c r="I1326" t="s">
        <v>25</v>
      </c>
      <c r="J1326" t="s">
        <v>36</v>
      </c>
      <c r="K1326" t="s">
        <v>12</v>
      </c>
    </row>
    <row r="1327" spans="1:11" x14ac:dyDescent="0.25">
      <c r="A1327" t="s">
        <v>1263</v>
      </c>
      <c r="B1327" t="s">
        <v>130</v>
      </c>
      <c r="C1327" t="s">
        <v>1264</v>
      </c>
      <c r="D1327">
        <v>737928942</v>
      </c>
      <c r="E1327" t="s">
        <v>9</v>
      </c>
      <c r="F1327" s="1">
        <v>45401</v>
      </c>
      <c r="G1327" t="s">
        <v>418</v>
      </c>
      <c r="H1327" s="2">
        <v>1726.89</v>
      </c>
      <c r="I1327" t="s">
        <v>25</v>
      </c>
      <c r="J1327" t="s">
        <v>33</v>
      </c>
      <c r="K1327" t="s">
        <v>16</v>
      </c>
    </row>
    <row r="1328" spans="1:11" x14ac:dyDescent="0.25">
      <c r="A1328" t="s">
        <v>1080</v>
      </c>
      <c r="B1328" t="s">
        <v>379</v>
      </c>
      <c r="C1328" t="s">
        <v>1081</v>
      </c>
      <c r="D1328">
        <v>615926523</v>
      </c>
      <c r="E1328" t="s">
        <v>9</v>
      </c>
      <c r="F1328" s="1">
        <v>45748</v>
      </c>
      <c r="G1328" t="s">
        <v>478</v>
      </c>
      <c r="H1328" s="2">
        <v>382.35</v>
      </c>
      <c r="I1328" t="s">
        <v>25</v>
      </c>
      <c r="J1328" t="s">
        <v>33</v>
      </c>
      <c r="K1328" t="s">
        <v>16</v>
      </c>
    </row>
    <row r="1329" spans="1:11" x14ac:dyDescent="0.25">
      <c r="A1329" t="s">
        <v>410</v>
      </c>
      <c r="B1329" t="s">
        <v>270</v>
      </c>
      <c r="C1329" t="s">
        <v>411</v>
      </c>
      <c r="D1329">
        <v>635181298</v>
      </c>
      <c r="E1329" t="s">
        <v>9</v>
      </c>
      <c r="F1329" s="1">
        <v>45237</v>
      </c>
      <c r="G1329" t="s">
        <v>412</v>
      </c>
      <c r="H1329" s="2">
        <v>1521.19</v>
      </c>
      <c r="I1329" t="s">
        <v>25</v>
      </c>
      <c r="J1329" t="s">
        <v>22</v>
      </c>
      <c r="K1329" t="s">
        <v>12</v>
      </c>
    </row>
    <row r="1330" spans="1:11" x14ac:dyDescent="0.25">
      <c r="A1330" t="s">
        <v>765</v>
      </c>
      <c r="B1330" t="s">
        <v>248</v>
      </c>
      <c r="C1330" t="s">
        <v>766</v>
      </c>
      <c r="D1330">
        <v>745695976</v>
      </c>
      <c r="E1330" t="s">
        <v>9</v>
      </c>
      <c r="F1330" s="1">
        <v>45500</v>
      </c>
      <c r="G1330" t="s">
        <v>412</v>
      </c>
      <c r="H1330" s="2">
        <v>567.41999999999996</v>
      </c>
      <c r="I1330" t="s">
        <v>507</v>
      </c>
      <c r="J1330" t="s">
        <v>11</v>
      </c>
      <c r="K1330" t="s">
        <v>16</v>
      </c>
    </row>
    <row r="1331" spans="1:11" x14ac:dyDescent="0.25">
      <c r="A1331" t="s">
        <v>921</v>
      </c>
      <c r="B1331" t="s">
        <v>922</v>
      </c>
      <c r="C1331" t="s">
        <v>923</v>
      </c>
      <c r="D1331">
        <v>722992018</v>
      </c>
      <c r="E1331" t="s">
        <v>9</v>
      </c>
      <c r="F1331" s="1">
        <v>45768</v>
      </c>
      <c r="G1331" t="s">
        <v>460</v>
      </c>
      <c r="H1331" s="2">
        <v>244.22</v>
      </c>
      <c r="I1331" t="s">
        <v>25</v>
      </c>
      <c r="J1331" t="s">
        <v>22</v>
      </c>
      <c r="K1331" t="s">
        <v>12</v>
      </c>
    </row>
    <row r="1332" spans="1:11" x14ac:dyDescent="0.25">
      <c r="A1332" t="s">
        <v>1458</v>
      </c>
      <c r="B1332" t="s">
        <v>1459</v>
      </c>
      <c r="C1332" t="s">
        <v>1460</v>
      </c>
      <c r="D1332">
        <v>749856245</v>
      </c>
      <c r="E1332" t="s">
        <v>9</v>
      </c>
      <c r="F1332" s="1">
        <v>45218</v>
      </c>
      <c r="G1332" t="s">
        <v>478</v>
      </c>
      <c r="H1332" s="2">
        <v>492.61</v>
      </c>
      <c r="I1332" t="s">
        <v>507</v>
      </c>
      <c r="J1332" t="s">
        <v>22</v>
      </c>
      <c r="K1332" t="s">
        <v>12</v>
      </c>
    </row>
    <row r="1333" spans="1:11" x14ac:dyDescent="0.25">
      <c r="A1333" t="s">
        <v>1367</v>
      </c>
      <c r="B1333" t="s">
        <v>394</v>
      </c>
      <c r="C1333" t="s">
        <v>1368</v>
      </c>
      <c r="D1333">
        <v>731576543</v>
      </c>
      <c r="E1333" t="s">
        <v>9</v>
      </c>
      <c r="F1333" s="1">
        <v>45486</v>
      </c>
      <c r="G1333" t="s">
        <v>32</v>
      </c>
      <c r="H1333" s="2">
        <v>366.65</v>
      </c>
      <c r="I1333" t="s">
        <v>25</v>
      </c>
      <c r="J1333" t="s">
        <v>11</v>
      </c>
      <c r="K1333" t="s">
        <v>12</v>
      </c>
    </row>
    <row r="1334" spans="1:11" x14ac:dyDescent="0.25">
      <c r="A1334" t="s">
        <v>1461</v>
      </c>
      <c r="B1334" t="s">
        <v>324</v>
      </c>
      <c r="C1334" t="s">
        <v>1462</v>
      </c>
      <c r="D1334">
        <v>746674783</v>
      </c>
      <c r="E1334" t="s">
        <v>9</v>
      </c>
      <c r="F1334" s="1">
        <v>45222</v>
      </c>
      <c r="G1334" t="s">
        <v>415</v>
      </c>
      <c r="H1334" s="2">
        <v>955.68</v>
      </c>
      <c r="I1334" t="s">
        <v>25</v>
      </c>
      <c r="J1334" t="s">
        <v>22</v>
      </c>
      <c r="K1334" t="s">
        <v>16</v>
      </c>
    </row>
    <row r="1335" spans="1:11" x14ac:dyDescent="0.25">
      <c r="A1335" t="s">
        <v>432</v>
      </c>
      <c r="B1335" t="s">
        <v>254</v>
      </c>
      <c r="C1335" t="s">
        <v>433</v>
      </c>
      <c r="D1335">
        <v>735998025</v>
      </c>
      <c r="E1335" t="s">
        <v>9</v>
      </c>
      <c r="F1335" s="1">
        <v>45739</v>
      </c>
      <c r="G1335" t="s">
        <v>10</v>
      </c>
      <c r="H1335" s="2">
        <v>566.70000000000005</v>
      </c>
      <c r="I1335" t="s">
        <v>25</v>
      </c>
      <c r="J1335" t="s">
        <v>33</v>
      </c>
      <c r="K1335" t="s">
        <v>12</v>
      </c>
    </row>
    <row r="1336" spans="1:11" x14ac:dyDescent="0.25">
      <c r="A1336" t="s">
        <v>1182</v>
      </c>
      <c r="B1336" t="s">
        <v>328</v>
      </c>
      <c r="C1336" t="s">
        <v>1183</v>
      </c>
      <c r="D1336">
        <v>688673130</v>
      </c>
      <c r="E1336" t="s">
        <v>18</v>
      </c>
      <c r="F1336" s="1">
        <v>45228</v>
      </c>
      <c r="G1336" t="s">
        <v>624</v>
      </c>
      <c r="H1336" s="2">
        <v>1264.71</v>
      </c>
      <c r="I1336" t="s">
        <v>25</v>
      </c>
      <c r="J1336" t="s">
        <v>22</v>
      </c>
      <c r="K1336" t="s">
        <v>16</v>
      </c>
    </row>
    <row r="1337" spans="1:11" x14ac:dyDescent="0.25">
      <c r="A1337" t="s">
        <v>593</v>
      </c>
      <c r="B1337" t="s">
        <v>404</v>
      </c>
      <c r="C1337" t="s">
        <v>594</v>
      </c>
      <c r="D1337">
        <v>703546596</v>
      </c>
      <c r="E1337" t="s">
        <v>18</v>
      </c>
      <c r="F1337" s="1">
        <v>45199</v>
      </c>
      <c r="G1337" t="s">
        <v>451</v>
      </c>
      <c r="H1337" s="2">
        <v>1883.16</v>
      </c>
      <c r="I1337" t="s">
        <v>25</v>
      </c>
      <c r="J1337" t="s">
        <v>36</v>
      </c>
      <c r="K1337" t="s">
        <v>12</v>
      </c>
    </row>
    <row r="1338" spans="1:11" x14ac:dyDescent="0.25">
      <c r="A1338" t="s">
        <v>471</v>
      </c>
      <c r="B1338" t="s">
        <v>311</v>
      </c>
      <c r="C1338" t="s">
        <v>472</v>
      </c>
      <c r="D1338">
        <v>892859188</v>
      </c>
      <c r="E1338" t="s">
        <v>9</v>
      </c>
      <c r="F1338" s="1">
        <v>45365</v>
      </c>
      <c r="G1338" t="s">
        <v>32</v>
      </c>
      <c r="H1338" s="2">
        <v>1400.62</v>
      </c>
      <c r="I1338" t="s">
        <v>25</v>
      </c>
      <c r="J1338" t="s">
        <v>11</v>
      </c>
      <c r="K1338" t="s">
        <v>16</v>
      </c>
    </row>
    <row r="1339" spans="1:11" x14ac:dyDescent="0.25">
      <c r="A1339" t="s">
        <v>683</v>
      </c>
      <c r="B1339" t="s">
        <v>142</v>
      </c>
      <c r="C1339" t="s">
        <v>684</v>
      </c>
      <c r="D1339">
        <v>722621294</v>
      </c>
      <c r="E1339" t="s">
        <v>9</v>
      </c>
      <c r="F1339" s="1">
        <v>45693</v>
      </c>
      <c r="G1339" t="s">
        <v>418</v>
      </c>
      <c r="H1339" s="2">
        <v>1552.81</v>
      </c>
      <c r="I1339" t="s">
        <v>25</v>
      </c>
      <c r="J1339" t="s">
        <v>36</v>
      </c>
      <c r="K1339" t="s">
        <v>12</v>
      </c>
    </row>
    <row r="1340" spans="1:11" x14ac:dyDescent="0.25">
      <c r="A1340" t="s">
        <v>1280</v>
      </c>
      <c r="B1340" t="s">
        <v>230</v>
      </c>
      <c r="C1340" t="s">
        <v>1281</v>
      </c>
      <c r="D1340">
        <v>865720278</v>
      </c>
      <c r="E1340" t="s">
        <v>9</v>
      </c>
      <c r="F1340" s="1">
        <v>45286</v>
      </c>
      <c r="G1340" t="s">
        <v>440</v>
      </c>
      <c r="H1340" s="2">
        <v>589.49</v>
      </c>
      <c r="I1340" t="s">
        <v>25</v>
      </c>
      <c r="J1340" t="s">
        <v>33</v>
      </c>
      <c r="K1340" t="s">
        <v>16</v>
      </c>
    </row>
    <row r="1341" spans="1:11" x14ac:dyDescent="0.25">
      <c r="A1341" t="s">
        <v>580</v>
      </c>
      <c r="B1341" t="s">
        <v>224</v>
      </c>
      <c r="C1341" t="s">
        <v>581</v>
      </c>
      <c r="D1341">
        <v>866148409</v>
      </c>
      <c r="E1341" t="s">
        <v>9</v>
      </c>
      <c r="F1341" s="1">
        <v>45456</v>
      </c>
      <c r="G1341" t="s">
        <v>506</v>
      </c>
      <c r="H1341" s="2">
        <v>1556.01</v>
      </c>
      <c r="I1341" t="s">
        <v>25</v>
      </c>
      <c r="J1341" t="s">
        <v>22</v>
      </c>
      <c r="K1341" t="s">
        <v>16</v>
      </c>
    </row>
    <row r="1342" spans="1:11" x14ac:dyDescent="0.25">
      <c r="A1342" t="s">
        <v>845</v>
      </c>
      <c r="B1342" t="s">
        <v>174</v>
      </c>
      <c r="C1342" t="s">
        <v>846</v>
      </c>
      <c r="D1342">
        <v>739067408</v>
      </c>
      <c r="E1342" t="s">
        <v>9</v>
      </c>
      <c r="F1342" s="1">
        <v>45559</v>
      </c>
      <c r="G1342" t="s">
        <v>460</v>
      </c>
      <c r="H1342" s="2">
        <v>1745.36</v>
      </c>
      <c r="I1342" t="s">
        <v>25</v>
      </c>
      <c r="J1342" t="s">
        <v>11</v>
      </c>
      <c r="K1342" t="s">
        <v>16</v>
      </c>
    </row>
    <row r="1343" spans="1:11" x14ac:dyDescent="0.25">
      <c r="A1343" t="s">
        <v>1336</v>
      </c>
      <c r="B1343" t="s">
        <v>231</v>
      </c>
      <c r="C1343" t="s">
        <v>1337</v>
      </c>
      <c r="D1343">
        <v>712187897</v>
      </c>
      <c r="E1343" t="s">
        <v>9</v>
      </c>
      <c r="F1343" s="1">
        <v>45562</v>
      </c>
      <c r="G1343" t="s">
        <v>14</v>
      </c>
      <c r="H1343" s="2">
        <v>1606.37</v>
      </c>
      <c r="I1343" t="s">
        <v>25</v>
      </c>
      <c r="J1343" t="s">
        <v>15</v>
      </c>
      <c r="K1343" t="s">
        <v>16</v>
      </c>
    </row>
    <row r="1344" spans="1:11" x14ac:dyDescent="0.25">
      <c r="A1344" t="s">
        <v>879</v>
      </c>
      <c r="B1344" t="s">
        <v>358</v>
      </c>
      <c r="C1344" t="s">
        <v>880</v>
      </c>
      <c r="D1344">
        <v>690754330</v>
      </c>
      <c r="E1344" t="s">
        <v>9</v>
      </c>
      <c r="F1344" s="1">
        <v>45698</v>
      </c>
      <c r="G1344" t="s">
        <v>423</v>
      </c>
      <c r="H1344" s="2">
        <v>165.17</v>
      </c>
      <c r="I1344" t="s">
        <v>507</v>
      </c>
      <c r="J1344" t="s">
        <v>22</v>
      </c>
      <c r="K1344" t="s">
        <v>12</v>
      </c>
    </row>
    <row r="1345" spans="1:11" x14ac:dyDescent="0.25">
      <c r="A1345" t="s">
        <v>504</v>
      </c>
      <c r="B1345" t="s">
        <v>178</v>
      </c>
      <c r="C1345" t="s">
        <v>505</v>
      </c>
      <c r="D1345">
        <v>733805530</v>
      </c>
      <c r="E1345" t="s">
        <v>18</v>
      </c>
      <c r="F1345" s="1">
        <v>45531</v>
      </c>
      <c r="G1345" t="s">
        <v>506</v>
      </c>
      <c r="H1345" s="2">
        <v>841.57</v>
      </c>
      <c r="I1345" t="s">
        <v>25</v>
      </c>
      <c r="J1345" t="s">
        <v>11</v>
      </c>
      <c r="K1345" t="s">
        <v>16</v>
      </c>
    </row>
    <row r="1346" spans="1:11" x14ac:dyDescent="0.25">
      <c r="A1346" t="s">
        <v>756</v>
      </c>
      <c r="B1346" t="s">
        <v>302</v>
      </c>
      <c r="C1346" t="s">
        <v>757</v>
      </c>
      <c r="D1346">
        <v>705473147</v>
      </c>
      <c r="E1346" t="s">
        <v>9</v>
      </c>
      <c r="F1346" s="1">
        <v>45261</v>
      </c>
      <c r="G1346" t="s">
        <v>24</v>
      </c>
      <c r="H1346" s="2">
        <v>137.79</v>
      </c>
      <c r="I1346" t="s">
        <v>25</v>
      </c>
      <c r="J1346" t="s">
        <v>11</v>
      </c>
      <c r="K1346" t="s">
        <v>12</v>
      </c>
    </row>
    <row r="1347" spans="1:11" x14ac:dyDescent="0.25">
      <c r="A1347" t="s">
        <v>1463</v>
      </c>
      <c r="B1347" t="s">
        <v>232</v>
      </c>
      <c r="C1347" t="s">
        <v>1464</v>
      </c>
      <c r="D1347">
        <v>653035081</v>
      </c>
      <c r="E1347" t="s">
        <v>9</v>
      </c>
      <c r="F1347" s="1">
        <v>45607</v>
      </c>
      <c r="G1347" t="s">
        <v>475</v>
      </c>
      <c r="H1347" s="2">
        <v>1258.08</v>
      </c>
      <c r="I1347" t="s">
        <v>25</v>
      </c>
      <c r="J1347" t="s">
        <v>22</v>
      </c>
      <c r="K1347" t="s">
        <v>16</v>
      </c>
    </row>
    <row r="1348" spans="1:11" x14ac:dyDescent="0.25">
      <c r="A1348" t="s">
        <v>951</v>
      </c>
      <c r="B1348" t="s">
        <v>366</v>
      </c>
      <c r="C1348" t="s">
        <v>952</v>
      </c>
      <c r="D1348">
        <v>721073574</v>
      </c>
      <c r="E1348" t="s">
        <v>18</v>
      </c>
      <c r="F1348" s="1">
        <v>45505</v>
      </c>
      <c r="G1348" t="s">
        <v>475</v>
      </c>
      <c r="H1348" s="2">
        <v>1615.8</v>
      </c>
      <c r="I1348" t="s">
        <v>25</v>
      </c>
      <c r="J1348" t="s">
        <v>26</v>
      </c>
      <c r="K1348" t="s">
        <v>16</v>
      </c>
    </row>
    <row r="1349" spans="1:11" x14ac:dyDescent="0.25">
      <c r="A1349" t="s">
        <v>1088</v>
      </c>
      <c r="B1349" t="s">
        <v>179</v>
      </c>
      <c r="C1349" t="s">
        <v>1089</v>
      </c>
      <c r="D1349">
        <v>676942883</v>
      </c>
      <c r="E1349" t="s">
        <v>9</v>
      </c>
      <c r="F1349" s="1">
        <v>45200</v>
      </c>
      <c r="G1349" t="s">
        <v>440</v>
      </c>
      <c r="H1349" s="2">
        <v>1464.64</v>
      </c>
      <c r="I1349" t="s">
        <v>25</v>
      </c>
      <c r="J1349" t="s">
        <v>22</v>
      </c>
      <c r="K1349" t="s">
        <v>16</v>
      </c>
    </row>
    <row r="1350" spans="1:11" x14ac:dyDescent="0.25">
      <c r="A1350" t="s">
        <v>1062</v>
      </c>
      <c r="B1350" t="s">
        <v>258</v>
      </c>
      <c r="C1350" t="s">
        <v>1063</v>
      </c>
      <c r="D1350">
        <v>746921271</v>
      </c>
      <c r="E1350" t="s">
        <v>18</v>
      </c>
      <c r="F1350" s="1">
        <v>45813</v>
      </c>
      <c r="G1350" t="s">
        <v>19</v>
      </c>
      <c r="H1350" s="2">
        <v>569.49</v>
      </c>
      <c r="I1350" t="s">
        <v>25</v>
      </c>
      <c r="J1350" t="s">
        <v>33</v>
      </c>
      <c r="K1350" t="s">
        <v>12</v>
      </c>
    </row>
    <row r="1351" spans="1:11" x14ac:dyDescent="0.25">
      <c r="A1351" t="s">
        <v>1176</v>
      </c>
      <c r="B1351" t="s">
        <v>229</v>
      </c>
      <c r="C1351" t="s">
        <v>1177</v>
      </c>
      <c r="D1351">
        <v>748025884</v>
      </c>
      <c r="E1351" t="s">
        <v>18</v>
      </c>
      <c r="F1351" s="1">
        <v>45521</v>
      </c>
      <c r="G1351" t="s">
        <v>415</v>
      </c>
      <c r="H1351" s="2">
        <v>609</v>
      </c>
      <c r="I1351" t="s">
        <v>444</v>
      </c>
      <c r="J1351" t="s">
        <v>33</v>
      </c>
      <c r="K1351" t="s">
        <v>16</v>
      </c>
    </row>
    <row r="1352" spans="1:11" x14ac:dyDescent="0.25">
      <c r="A1352" t="s">
        <v>1261</v>
      </c>
      <c r="B1352" t="s">
        <v>374</v>
      </c>
      <c r="C1352" t="s">
        <v>1262</v>
      </c>
      <c r="D1352">
        <v>915781255</v>
      </c>
      <c r="E1352" t="s">
        <v>13</v>
      </c>
      <c r="F1352" s="1">
        <v>45459</v>
      </c>
      <c r="G1352" t="s">
        <v>423</v>
      </c>
      <c r="H1352" s="2">
        <v>1988.93</v>
      </c>
      <c r="I1352" t="s">
        <v>25</v>
      </c>
      <c r="J1352" t="s">
        <v>26</v>
      </c>
      <c r="K1352" t="s">
        <v>16</v>
      </c>
    </row>
    <row r="1353" spans="1:11" x14ac:dyDescent="0.25">
      <c r="A1353" t="s">
        <v>1082</v>
      </c>
      <c r="B1353" t="s">
        <v>219</v>
      </c>
      <c r="C1353" t="s">
        <v>1083</v>
      </c>
      <c r="D1353">
        <v>737214224</v>
      </c>
      <c r="E1353" t="s">
        <v>9</v>
      </c>
      <c r="F1353" s="1">
        <v>45694</v>
      </c>
      <c r="G1353" t="s">
        <v>29</v>
      </c>
      <c r="H1353" s="2">
        <v>345.85</v>
      </c>
      <c r="I1353" t="s">
        <v>25</v>
      </c>
      <c r="J1353" t="s">
        <v>33</v>
      </c>
      <c r="K1353" t="s">
        <v>16</v>
      </c>
    </row>
    <row r="1354" spans="1:11" x14ac:dyDescent="0.25">
      <c r="A1354" t="s">
        <v>510</v>
      </c>
      <c r="B1354" t="s">
        <v>72</v>
      </c>
      <c r="C1354" t="s">
        <v>511</v>
      </c>
      <c r="D1354">
        <v>965928716</v>
      </c>
      <c r="E1354" t="s">
        <v>9</v>
      </c>
      <c r="F1354" s="1">
        <v>45801</v>
      </c>
      <c r="G1354" t="s">
        <v>21</v>
      </c>
      <c r="H1354" s="2">
        <v>1404.87</v>
      </c>
      <c r="I1354" t="s">
        <v>25</v>
      </c>
      <c r="J1354" t="s">
        <v>22</v>
      </c>
      <c r="K1354" t="s">
        <v>12</v>
      </c>
    </row>
    <row r="1355" spans="1:11" x14ac:dyDescent="0.25">
      <c r="A1355" t="s">
        <v>776</v>
      </c>
      <c r="B1355" t="s">
        <v>200</v>
      </c>
      <c r="C1355" t="s">
        <v>777</v>
      </c>
      <c r="D1355">
        <v>727278182</v>
      </c>
      <c r="E1355" t="s">
        <v>9</v>
      </c>
      <c r="F1355" s="1">
        <v>45264</v>
      </c>
      <c r="G1355" t="s">
        <v>603</v>
      </c>
      <c r="H1355" s="2">
        <v>1177.51</v>
      </c>
      <c r="I1355" t="s">
        <v>25</v>
      </c>
      <c r="J1355" t="s">
        <v>11</v>
      </c>
      <c r="K1355" t="s">
        <v>12</v>
      </c>
    </row>
    <row r="1356" spans="1:11" x14ac:dyDescent="0.25">
      <c r="A1356" t="s">
        <v>808</v>
      </c>
      <c r="B1356" t="s">
        <v>578</v>
      </c>
      <c r="C1356" t="s">
        <v>809</v>
      </c>
      <c r="D1356">
        <v>741558653</v>
      </c>
      <c r="E1356" t="s">
        <v>9</v>
      </c>
      <c r="F1356" s="1">
        <v>45553</v>
      </c>
      <c r="G1356" t="s">
        <v>14</v>
      </c>
      <c r="H1356" s="2">
        <v>1583.38</v>
      </c>
      <c r="I1356" t="s">
        <v>25</v>
      </c>
      <c r="J1356" t="s">
        <v>33</v>
      </c>
      <c r="K1356" t="s">
        <v>16</v>
      </c>
    </row>
    <row r="1357" spans="1:11" x14ac:dyDescent="0.25">
      <c r="A1357" t="s">
        <v>1318</v>
      </c>
      <c r="B1357" t="s">
        <v>1319</v>
      </c>
      <c r="C1357" t="s">
        <v>1320</v>
      </c>
      <c r="D1357">
        <v>947659636</v>
      </c>
      <c r="E1357" t="s">
        <v>18</v>
      </c>
      <c r="F1357" s="1">
        <v>45634</v>
      </c>
      <c r="G1357" t="s">
        <v>624</v>
      </c>
      <c r="H1357" s="2">
        <v>1251.55</v>
      </c>
      <c r="I1357" t="s">
        <v>507</v>
      </c>
      <c r="J1357" t="s">
        <v>11</v>
      </c>
      <c r="K1357" t="s">
        <v>16</v>
      </c>
    </row>
    <row r="1358" spans="1:11" x14ac:dyDescent="0.25">
      <c r="A1358" t="s">
        <v>1377</v>
      </c>
      <c r="B1358" t="s">
        <v>56</v>
      </c>
      <c r="C1358" t="s">
        <v>1378</v>
      </c>
      <c r="D1358">
        <v>717669942</v>
      </c>
      <c r="E1358" t="s">
        <v>9</v>
      </c>
      <c r="F1358" s="1">
        <v>45678</v>
      </c>
      <c r="G1358" t="s">
        <v>24</v>
      </c>
      <c r="H1358" s="2">
        <v>1958.07</v>
      </c>
      <c r="I1358" t="s">
        <v>25</v>
      </c>
      <c r="J1358" t="s">
        <v>33</v>
      </c>
      <c r="K1358" t="s">
        <v>16</v>
      </c>
    </row>
    <row r="1359" spans="1:11" x14ac:dyDescent="0.25">
      <c r="A1359" t="s">
        <v>601</v>
      </c>
      <c r="B1359" t="s">
        <v>339</v>
      </c>
      <c r="C1359" t="s">
        <v>602</v>
      </c>
      <c r="D1359">
        <v>825868533</v>
      </c>
      <c r="E1359" t="s">
        <v>18</v>
      </c>
      <c r="F1359" s="1">
        <v>45562</v>
      </c>
      <c r="G1359" t="s">
        <v>603</v>
      </c>
      <c r="H1359" s="2">
        <v>1832.81</v>
      </c>
      <c r="I1359" t="s">
        <v>25</v>
      </c>
      <c r="J1359" t="s">
        <v>11</v>
      </c>
      <c r="K1359" t="s">
        <v>16</v>
      </c>
    </row>
    <row r="1360" spans="1:11" x14ac:dyDescent="0.25">
      <c r="A1360" t="s">
        <v>847</v>
      </c>
      <c r="B1360" t="s">
        <v>256</v>
      </c>
      <c r="C1360" t="s">
        <v>848</v>
      </c>
      <c r="D1360">
        <v>733233840</v>
      </c>
      <c r="E1360" t="s">
        <v>9</v>
      </c>
      <c r="F1360" s="1">
        <v>45847</v>
      </c>
      <c r="G1360" t="s">
        <v>475</v>
      </c>
      <c r="H1360" s="2">
        <v>87.99</v>
      </c>
      <c r="I1360" t="s">
        <v>25</v>
      </c>
      <c r="J1360" t="s">
        <v>22</v>
      </c>
      <c r="K1360" t="s">
        <v>12</v>
      </c>
    </row>
    <row r="1361" spans="1:11" x14ac:dyDescent="0.25">
      <c r="A1361" t="s">
        <v>1100</v>
      </c>
      <c r="B1361" t="s">
        <v>234</v>
      </c>
      <c r="C1361" t="s">
        <v>1101</v>
      </c>
      <c r="D1361">
        <v>741532244</v>
      </c>
      <c r="E1361" t="s">
        <v>9</v>
      </c>
      <c r="F1361" s="1">
        <v>45197</v>
      </c>
      <c r="G1361" t="s">
        <v>415</v>
      </c>
      <c r="H1361" s="2">
        <v>1009.89</v>
      </c>
      <c r="I1361" t="s">
        <v>25</v>
      </c>
      <c r="J1361" t="s">
        <v>22</v>
      </c>
      <c r="K1361" t="s">
        <v>16</v>
      </c>
    </row>
    <row r="1362" spans="1:11" x14ac:dyDescent="0.25">
      <c r="A1362" t="s">
        <v>996</v>
      </c>
      <c r="B1362" t="s">
        <v>344</v>
      </c>
      <c r="C1362" t="s">
        <v>997</v>
      </c>
      <c r="D1362">
        <v>919457468</v>
      </c>
      <c r="E1362" t="s">
        <v>9</v>
      </c>
      <c r="F1362" s="1">
        <v>45670</v>
      </c>
      <c r="G1362" t="s">
        <v>47</v>
      </c>
      <c r="H1362" s="2">
        <v>658</v>
      </c>
      <c r="I1362" t="s">
        <v>25</v>
      </c>
      <c r="J1362" t="s">
        <v>22</v>
      </c>
      <c r="K1362" t="s">
        <v>12</v>
      </c>
    </row>
    <row r="1363" spans="1:11" x14ac:dyDescent="0.25">
      <c r="A1363" t="s">
        <v>1321</v>
      </c>
      <c r="B1363" t="s">
        <v>122</v>
      </c>
      <c r="C1363" t="s">
        <v>1322</v>
      </c>
      <c r="D1363">
        <v>809782522</v>
      </c>
      <c r="E1363" t="s">
        <v>9</v>
      </c>
      <c r="F1363" s="1">
        <v>45703</v>
      </c>
      <c r="G1363" t="s">
        <v>412</v>
      </c>
      <c r="H1363" s="2">
        <v>310.11</v>
      </c>
      <c r="I1363" t="s">
        <v>507</v>
      </c>
      <c r="J1363" t="s">
        <v>33</v>
      </c>
      <c r="K1363" t="s">
        <v>16</v>
      </c>
    </row>
    <row r="1364" spans="1:11" x14ac:dyDescent="0.25">
      <c r="A1364" t="s">
        <v>1220</v>
      </c>
      <c r="B1364" t="s">
        <v>294</v>
      </c>
      <c r="C1364" t="s">
        <v>1221</v>
      </c>
      <c r="D1364">
        <v>731230632</v>
      </c>
      <c r="E1364" t="s">
        <v>9</v>
      </c>
      <c r="F1364" s="1">
        <v>45580</v>
      </c>
      <c r="G1364" t="s">
        <v>475</v>
      </c>
      <c r="H1364" s="2">
        <v>1204.18</v>
      </c>
      <c r="I1364" t="s">
        <v>25</v>
      </c>
      <c r="J1364" t="s">
        <v>22</v>
      </c>
      <c r="K1364" t="s">
        <v>12</v>
      </c>
    </row>
    <row r="1365" spans="1:11" x14ac:dyDescent="0.25">
      <c r="A1365" t="s">
        <v>1307</v>
      </c>
      <c r="B1365" t="s">
        <v>1308</v>
      </c>
      <c r="C1365" t="s">
        <v>1309</v>
      </c>
      <c r="D1365">
        <v>899491733</v>
      </c>
      <c r="E1365" t="s">
        <v>9</v>
      </c>
      <c r="F1365" s="1">
        <v>45742</v>
      </c>
      <c r="G1365" t="s">
        <v>518</v>
      </c>
      <c r="H1365" s="2">
        <v>1220.6600000000001</v>
      </c>
      <c r="I1365" t="s">
        <v>25</v>
      </c>
      <c r="J1365" t="s">
        <v>22</v>
      </c>
      <c r="K1365" t="s">
        <v>12</v>
      </c>
    </row>
    <row r="1366" spans="1:11" x14ac:dyDescent="0.25">
      <c r="A1366" t="s">
        <v>835</v>
      </c>
      <c r="B1366" t="s">
        <v>83</v>
      </c>
      <c r="C1366" t="s">
        <v>836</v>
      </c>
      <c r="D1366">
        <v>720195198</v>
      </c>
      <c r="E1366" t="s">
        <v>18</v>
      </c>
      <c r="F1366" s="1">
        <v>45388</v>
      </c>
      <c r="G1366" t="s">
        <v>518</v>
      </c>
      <c r="H1366" s="2">
        <v>926.66</v>
      </c>
      <c r="I1366" t="s">
        <v>25</v>
      </c>
      <c r="J1366" t="s">
        <v>33</v>
      </c>
      <c r="K1366" t="s">
        <v>12</v>
      </c>
    </row>
    <row r="1367" spans="1:11" x14ac:dyDescent="0.25">
      <c r="A1367" t="s">
        <v>449</v>
      </c>
      <c r="B1367" t="s">
        <v>88</v>
      </c>
      <c r="C1367" t="s">
        <v>450</v>
      </c>
      <c r="D1367">
        <v>739522597</v>
      </c>
      <c r="E1367" t="s">
        <v>9</v>
      </c>
      <c r="F1367" s="1">
        <v>45368</v>
      </c>
      <c r="G1367" t="s">
        <v>451</v>
      </c>
      <c r="H1367" s="2">
        <v>780.78</v>
      </c>
      <c r="I1367" t="s">
        <v>25</v>
      </c>
      <c r="J1367" t="s">
        <v>22</v>
      </c>
      <c r="K1367" t="s">
        <v>16</v>
      </c>
    </row>
    <row r="1368" spans="1:11" x14ac:dyDescent="0.25">
      <c r="A1368" t="s">
        <v>816</v>
      </c>
      <c r="B1368" t="s">
        <v>264</v>
      </c>
      <c r="C1368" t="s">
        <v>817</v>
      </c>
      <c r="D1368">
        <v>705449727</v>
      </c>
      <c r="E1368" t="s">
        <v>9</v>
      </c>
      <c r="F1368" s="1">
        <v>45568</v>
      </c>
      <c r="G1368" t="s">
        <v>440</v>
      </c>
      <c r="H1368" s="2">
        <v>589.13</v>
      </c>
      <c r="I1368" t="s">
        <v>25</v>
      </c>
      <c r="J1368" t="s">
        <v>33</v>
      </c>
      <c r="K1368" t="s">
        <v>12</v>
      </c>
    </row>
    <row r="1369" spans="1:11" x14ac:dyDescent="0.25">
      <c r="A1369" t="s">
        <v>1292</v>
      </c>
      <c r="B1369" t="s">
        <v>1293</v>
      </c>
      <c r="C1369" t="s">
        <v>1294</v>
      </c>
      <c r="D1369">
        <v>660996978</v>
      </c>
      <c r="E1369" t="s">
        <v>18</v>
      </c>
      <c r="F1369" s="1">
        <v>45487</v>
      </c>
      <c r="G1369" t="s">
        <v>14</v>
      </c>
      <c r="H1369" s="2">
        <v>1599.08</v>
      </c>
      <c r="I1369" t="s">
        <v>25</v>
      </c>
      <c r="J1369" t="s">
        <v>11</v>
      </c>
      <c r="K1369" t="s">
        <v>16</v>
      </c>
    </row>
    <row r="1370" spans="1:11" x14ac:dyDescent="0.25">
      <c r="A1370" t="s">
        <v>1180</v>
      </c>
      <c r="B1370" t="s">
        <v>246</v>
      </c>
      <c r="C1370" t="s">
        <v>1181</v>
      </c>
      <c r="D1370">
        <v>974043470</v>
      </c>
      <c r="E1370" t="s">
        <v>18</v>
      </c>
      <c r="F1370" s="1">
        <v>45754</v>
      </c>
      <c r="G1370" t="s">
        <v>415</v>
      </c>
      <c r="H1370" s="2">
        <v>1826.62</v>
      </c>
      <c r="I1370" t="s">
        <v>507</v>
      </c>
      <c r="J1370" t="s">
        <v>26</v>
      </c>
      <c r="K1370" t="s">
        <v>12</v>
      </c>
    </row>
    <row r="1371" spans="1:11" x14ac:dyDescent="0.25">
      <c r="A1371" t="s">
        <v>1465</v>
      </c>
      <c r="B1371" t="s">
        <v>1466</v>
      </c>
      <c r="C1371" t="s">
        <v>1467</v>
      </c>
      <c r="D1371">
        <v>664931241</v>
      </c>
      <c r="E1371" t="s">
        <v>9</v>
      </c>
      <c r="F1371" s="1">
        <v>45886</v>
      </c>
      <c r="G1371" t="s">
        <v>35</v>
      </c>
      <c r="H1371" s="2">
        <v>1922.22</v>
      </c>
      <c r="I1371" t="s">
        <v>25</v>
      </c>
      <c r="J1371" t="s">
        <v>22</v>
      </c>
      <c r="K1371" t="s">
        <v>16</v>
      </c>
    </row>
    <row r="1372" spans="1:11" x14ac:dyDescent="0.25">
      <c r="A1372" t="s">
        <v>1108</v>
      </c>
      <c r="B1372" t="s">
        <v>224</v>
      </c>
      <c r="C1372" t="s">
        <v>1109</v>
      </c>
      <c r="D1372">
        <v>694844051</v>
      </c>
      <c r="E1372" t="s">
        <v>9</v>
      </c>
      <c r="F1372" s="1">
        <v>45271</v>
      </c>
      <c r="G1372" t="s">
        <v>21</v>
      </c>
      <c r="H1372" s="2">
        <v>446.96</v>
      </c>
      <c r="I1372" t="s">
        <v>25</v>
      </c>
      <c r="J1372" t="s">
        <v>26</v>
      </c>
      <c r="K1372" t="s">
        <v>16</v>
      </c>
    </row>
    <row r="1373" spans="1:11" x14ac:dyDescent="0.25">
      <c r="A1373" t="s">
        <v>1102</v>
      </c>
      <c r="B1373" t="s">
        <v>23</v>
      </c>
      <c r="C1373" t="s">
        <v>1103</v>
      </c>
      <c r="D1373">
        <v>730150105</v>
      </c>
      <c r="E1373" t="s">
        <v>9</v>
      </c>
      <c r="F1373" s="1">
        <v>45818</v>
      </c>
      <c r="G1373" t="s">
        <v>506</v>
      </c>
      <c r="H1373" s="2">
        <v>13.32</v>
      </c>
      <c r="I1373" t="s">
        <v>25</v>
      </c>
      <c r="J1373" t="s">
        <v>22</v>
      </c>
      <c r="K1373" t="s">
        <v>16</v>
      </c>
    </row>
    <row r="1374" spans="1:11" x14ac:dyDescent="0.25">
      <c r="A1374" t="s">
        <v>677</v>
      </c>
      <c r="B1374" t="s">
        <v>161</v>
      </c>
      <c r="C1374" t="s">
        <v>678</v>
      </c>
      <c r="D1374">
        <v>911729847</v>
      </c>
      <c r="E1374" t="s">
        <v>18</v>
      </c>
      <c r="F1374" s="1">
        <v>45601</v>
      </c>
      <c r="G1374" t="s">
        <v>624</v>
      </c>
      <c r="H1374" s="2">
        <v>1593.29</v>
      </c>
      <c r="I1374" t="s">
        <v>25</v>
      </c>
      <c r="J1374" t="s">
        <v>26</v>
      </c>
      <c r="K1374" t="s">
        <v>12</v>
      </c>
    </row>
    <row r="1375" spans="1:11" x14ac:dyDescent="0.25">
      <c r="A1375" t="s">
        <v>1468</v>
      </c>
      <c r="B1375" t="s">
        <v>397</v>
      </c>
      <c r="C1375" t="s">
        <v>1469</v>
      </c>
      <c r="D1375">
        <v>883892125</v>
      </c>
      <c r="E1375" t="s">
        <v>9</v>
      </c>
      <c r="F1375" s="1">
        <v>45881</v>
      </c>
      <c r="G1375" t="s">
        <v>32</v>
      </c>
      <c r="H1375" s="2">
        <v>170.11</v>
      </c>
      <c r="I1375" t="s">
        <v>25</v>
      </c>
      <c r="J1375" t="s">
        <v>22</v>
      </c>
      <c r="K1375" t="s">
        <v>16</v>
      </c>
    </row>
    <row r="1376" spans="1:11" x14ac:dyDescent="0.25">
      <c r="A1376" t="s">
        <v>1137</v>
      </c>
      <c r="B1376" t="s">
        <v>37</v>
      </c>
      <c r="C1376" t="s">
        <v>1138</v>
      </c>
      <c r="D1376">
        <v>840470316</v>
      </c>
      <c r="E1376" t="s">
        <v>18</v>
      </c>
      <c r="F1376" s="1">
        <v>45219</v>
      </c>
      <c r="G1376" t="s">
        <v>412</v>
      </c>
      <c r="H1376" s="2">
        <v>506.02</v>
      </c>
      <c r="I1376" t="s">
        <v>444</v>
      </c>
      <c r="J1376" t="s">
        <v>11</v>
      </c>
      <c r="K1376" t="s">
        <v>12</v>
      </c>
    </row>
    <row r="1377" spans="1:11" x14ac:dyDescent="0.25">
      <c r="A1377" t="s">
        <v>631</v>
      </c>
      <c r="B1377" t="s">
        <v>54</v>
      </c>
      <c r="C1377" t="s">
        <v>632</v>
      </c>
      <c r="D1377">
        <v>717372411</v>
      </c>
      <c r="E1377" t="s">
        <v>9</v>
      </c>
      <c r="F1377" s="1">
        <v>45737</v>
      </c>
      <c r="G1377" t="s">
        <v>14</v>
      </c>
      <c r="H1377" s="2">
        <v>735.23</v>
      </c>
      <c r="I1377" t="s">
        <v>444</v>
      </c>
      <c r="J1377" t="s">
        <v>33</v>
      </c>
      <c r="K1377" t="s">
        <v>16</v>
      </c>
    </row>
    <row r="1378" spans="1:11" x14ac:dyDescent="0.25">
      <c r="A1378" t="s">
        <v>853</v>
      </c>
      <c r="B1378" t="s">
        <v>854</v>
      </c>
      <c r="C1378" t="s">
        <v>855</v>
      </c>
      <c r="D1378">
        <v>731844990</v>
      </c>
      <c r="E1378" t="s">
        <v>18</v>
      </c>
      <c r="F1378" s="1">
        <v>45844</v>
      </c>
      <c r="G1378" t="s">
        <v>14</v>
      </c>
      <c r="H1378" s="2">
        <v>705.86</v>
      </c>
      <c r="I1378" t="s">
        <v>25</v>
      </c>
      <c r="J1378" t="s">
        <v>11</v>
      </c>
      <c r="K1378" t="s">
        <v>12</v>
      </c>
    </row>
    <row r="1379" spans="1:11" x14ac:dyDescent="0.25">
      <c r="A1379" t="s">
        <v>1323</v>
      </c>
      <c r="B1379" t="s">
        <v>587</v>
      </c>
      <c r="C1379" t="s">
        <v>1324</v>
      </c>
      <c r="D1379">
        <v>701538350</v>
      </c>
      <c r="E1379" t="s">
        <v>9</v>
      </c>
      <c r="F1379" s="1">
        <v>45807</v>
      </c>
      <c r="G1379" t="s">
        <v>412</v>
      </c>
      <c r="H1379" s="2">
        <v>306.12</v>
      </c>
      <c r="I1379" t="s">
        <v>25</v>
      </c>
      <c r="J1379" t="s">
        <v>22</v>
      </c>
      <c r="K1379" t="s">
        <v>16</v>
      </c>
    </row>
    <row r="1380" spans="1:11" x14ac:dyDescent="0.25">
      <c r="A1380" t="s">
        <v>660</v>
      </c>
      <c r="B1380" t="s">
        <v>325</v>
      </c>
      <c r="C1380" t="s">
        <v>661</v>
      </c>
      <c r="D1380">
        <v>727937300</v>
      </c>
      <c r="E1380" t="s">
        <v>9</v>
      </c>
      <c r="F1380" s="1">
        <v>45195</v>
      </c>
      <c r="G1380" t="s">
        <v>47</v>
      </c>
      <c r="H1380" s="2">
        <v>947.51</v>
      </c>
      <c r="I1380" t="s">
        <v>25</v>
      </c>
      <c r="J1380" t="s">
        <v>36</v>
      </c>
      <c r="K1380" t="s">
        <v>16</v>
      </c>
    </row>
    <row r="1381" spans="1:11" x14ac:dyDescent="0.25">
      <c r="A1381" t="s">
        <v>1100</v>
      </c>
      <c r="B1381" t="s">
        <v>234</v>
      </c>
      <c r="C1381" t="s">
        <v>1101</v>
      </c>
      <c r="D1381">
        <v>741532244</v>
      </c>
      <c r="E1381" t="s">
        <v>9</v>
      </c>
      <c r="F1381" s="1">
        <v>45887</v>
      </c>
      <c r="G1381" t="s">
        <v>415</v>
      </c>
      <c r="H1381" s="2">
        <v>129.29</v>
      </c>
      <c r="I1381" t="s">
        <v>25</v>
      </c>
      <c r="J1381" t="s">
        <v>22</v>
      </c>
      <c r="K1381" t="s">
        <v>16</v>
      </c>
    </row>
    <row r="1382" spans="1:11" x14ac:dyDescent="0.25">
      <c r="A1382" t="s">
        <v>1424</v>
      </c>
      <c r="B1382" t="s">
        <v>61</v>
      </c>
      <c r="C1382" t="s">
        <v>1425</v>
      </c>
      <c r="D1382">
        <v>629889888</v>
      </c>
      <c r="E1382" t="s">
        <v>9</v>
      </c>
      <c r="F1382" s="1">
        <v>45873</v>
      </c>
      <c r="G1382" t="s">
        <v>10</v>
      </c>
      <c r="H1382" s="2">
        <v>727.13</v>
      </c>
      <c r="I1382" t="s">
        <v>25</v>
      </c>
      <c r="J1382" t="s">
        <v>22</v>
      </c>
      <c r="K1382" t="s">
        <v>12</v>
      </c>
    </row>
    <row r="1383" spans="1:11" x14ac:dyDescent="0.25">
      <c r="A1383" t="s">
        <v>1222</v>
      </c>
      <c r="B1383" t="s">
        <v>399</v>
      </c>
      <c r="C1383" t="s">
        <v>1223</v>
      </c>
      <c r="D1383">
        <v>639108490</v>
      </c>
      <c r="E1383" t="s">
        <v>9</v>
      </c>
      <c r="F1383" s="1">
        <v>45704</v>
      </c>
      <c r="G1383" t="s">
        <v>506</v>
      </c>
      <c r="H1383" s="2">
        <v>1675.37</v>
      </c>
      <c r="I1383" t="s">
        <v>25</v>
      </c>
      <c r="J1383" t="s">
        <v>22</v>
      </c>
      <c r="K1383" t="s">
        <v>12</v>
      </c>
    </row>
    <row r="1384" spans="1:11" x14ac:dyDescent="0.25">
      <c r="A1384" t="s">
        <v>631</v>
      </c>
      <c r="B1384" t="s">
        <v>54</v>
      </c>
      <c r="C1384" t="s">
        <v>632</v>
      </c>
      <c r="D1384">
        <v>717372411</v>
      </c>
      <c r="E1384" t="s">
        <v>9</v>
      </c>
      <c r="F1384" s="1">
        <v>45237</v>
      </c>
      <c r="G1384" t="s">
        <v>14</v>
      </c>
      <c r="H1384" s="2">
        <v>184.24</v>
      </c>
      <c r="I1384" t="s">
        <v>25</v>
      </c>
      <c r="J1384" t="s">
        <v>36</v>
      </c>
      <c r="K1384" t="s">
        <v>16</v>
      </c>
    </row>
    <row r="1385" spans="1:11" x14ac:dyDescent="0.25">
      <c r="A1385" t="s">
        <v>531</v>
      </c>
      <c r="B1385" t="s">
        <v>101</v>
      </c>
      <c r="C1385" t="s">
        <v>532</v>
      </c>
      <c r="D1385">
        <v>859966448</v>
      </c>
      <c r="E1385" t="s">
        <v>18</v>
      </c>
      <c r="F1385" s="1">
        <v>45796</v>
      </c>
      <c r="G1385" t="s">
        <v>35</v>
      </c>
      <c r="H1385" s="2">
        <v>292.51</v>
      </c>
      <c r="I1385" t="s">
        <v>25</v>
      </c>
      <c r="J1385" t="s">
        <v>11</v>
      </c>
      <c r="K1385" t="s">
        <v>12</v>
      </c>
    </row>
    <row r="1386" spans="1:11" x14ac:dyDescent="0.25">
      <c r="A1386" t="s">
        <v>549</v>
      </c>
      <c r="B1386" t="s">
        <v>183</v>
      </c>
      <c r="C1386" t="s">
        <v>550</v>
      </c>
      <c r="D1386">
        <v>948373777</v>
      </c>
      <c r="E1386" t="s">
        <v>9</v>
      </c>
      <c r="F1386" s="1">
        <v>45692</v>
      </c>
      <c r="G1386" t="s">
        <v>506</v>
      </c>
      <c r="H1386" s="2">
        <v>518.80999999999995</v>
      </c>
      <c r="I1386" t="s">
        <v>25</v>
      </c>
      <c r="J1386" t="s">
        <v>15</v>
      </c>
      <c r="K1386" t="s">
        <v>12</v>
      </c>
    </row>
    <row r="1387" spans="1:11" x14ac:dyDescent="0.25">
      <c r="A1387" t="s">
        <v>461</v>
      </c>
      <c r="B1387" t="s">
        <v>357</v>
      </c>
      <c r="C1387" t="s">
        <v>462</v>
      </c>
      <c r="D1387">
        <v>611493591</v>
      </c>
      <c r="E1387" t="s">
        <v>18</v>
      </c>
      <c r="F1387" s="1">
        <v>45686</v>
      </c>
      <c r="G1387" t="s">
        <v>451</v>
      </c>
      <c r="H1387" s="2">
        <v>1349.9</v>
      </c>
      <c r="I1387" t="s">
        <v>25</v>
      </c>
      <c r="J1387" t="s">
        <v>11</v>
      </c>
      <c r="K1387" t="s">
        <v>16</v>
      </c>
    </row>
    <row r="1388" spans="1:11" x14ac:dyDescent="0.25">
      <c r="A1388" t="s">
        <v>1470</v>
      </c>
      <c r="B1388" t="s">
        <v>300</v>
      </c>
      <c r="C1388" t="s">
        <v>1471</v>
      </c>
      <c r="D1388">
        <v>732015376</v>
      </c>
      <c r="E1388" t="s">
        <v>18</v>
      </c>
      <c r="F1388" s="1">
        <v>45239</v>
      </c>
      <c r="G1388" t="s">
        <v>415</v>
      </c>
      <c r="H1388" s="2">
        <v>169.73</v>
      </c>
      <c r="I1388" t="s">
        <v>25</v>
      </c>
      <c r="J1388" t="s">
        <v>26</v>
      </c>
      <c r="K1388" t="s">
        <v>12</v>
      </c>
    </row>
    <row r="1389" spans="1:11" x14ac:dyDescent="0.25">
      <c r="A1389" t="s">
        <v>1472</v>
      </c>
      <c r="B1389" t="s">
        <v>100</v>
      </c>
      <c r="C1389" t="s">
        <v>1473</v>
      </c>
      <c r="D1389">
        <v>749190017</v>
      </c>
      <c r="E1389" t="s">
        <v>18</v>
      </c>
      <c r="F1389" s="1">
        <v>45413</v>
      </c>
      <c r="G1389" t="s">
        <v>624</v>
      </c>
      <c r="H1389" s="2">
        <v>388.08</v>
      </c>
      <c r="I1389" t="s">
        <v>25</v>
      </c>
      <c r="J1389" t="s">
        <v>11</v>
      </c>
      <c r="K1389" t="s">
        <v>16</v>
      </c>
    </row>
    <row r="1390" spans="1:11" x14ac:dyDescent="0.25">
      <c r="A1390" t="s">
        <v>562</v>
      </c>
      <c r="B1390" t="s">
        <v>356</v>
      </c>
      <c r="C1390" t="s">
        <v>563</v>
      </c>
      <c r="D1390">
        <v>747024959</v>
      </c>
      <c r="E1390" t="s">
        <v>18</v>
      </c>
      <c r="F1390" s="1">
        <v>45640</v>
      </c>
      <c r="G1390" t="s">
        <v>32</v>
      </c>
      <c r="H1390" s="2">
        <v>1287.6099999999999</v>
      </c>
      <c r="I1390" t="s">
        <v>25</v>
      </c>
      <c r="J1390" t="s">
        <v>36</v>
      </c>
      <c r="K1390" t="s">
        <v>12</v>
      </c>
    </row>
    <row r="1391" spans="1:11" x14ac:dyDescent="0.25">
      <c r="A1391" t="s">
        <v>1391</v>
      </c>
      <c r="B1391" t="s">
        <v>1392</v>
      </c>
      <c r="C1391" t="s">
        <v>1393</v>
      </c>
      <c r="D1391">
        <v>745949966</v>
      </c>
      <c r="E1391" t="s">
        <v>13</v>
      </c>
      <c r="F1391" s="1">
        <v>45289</v>
      </c>
      <c r="G1391" t="s">
        <v>21</v>
      </c>
      <c r="H1391" s="2">
        <v>491.24</v>
      </c>
      <c r="I1391" t="s">
        <v>25</v>
      </c>
      <c r="J1391" t="s">
        <v>22</v>
      </c>
      <c r="K1391" t="s">
        <v>16</v>
      </c>
    </row>
    <row r="1392" spans="1:11" x14ac:dyDescent="0.25">
      <c r="A1392" t="s">
        <v>822</v>
      </c>
      <c r="B1392" t="s">
        <v>392</v>
      </c>
      <c r="C1392" t="s">
        <v>823</v>
      </c>
      <c r="D1392">
        <v>725966550</v>
      </c>
      <c r="E1392" t="s">
        <v>9</v>
      </c>
      <c r="F1392" s="1">
        <v>45861</v>
      </c>
      <c r="G1392" t="s">
        <v>10</v>
      </c>
      <c r="H1392" s="2">
        <v>1188.0899999999999</v>
      </c>
      <c r="I1392" t="s">
        <v>444</v>
      </c>
      <c r="J1392" t="s">
        <v>22</v>
      </c>
      <c r="K1392" t="s">
        <v>16</v>
      </c>
    </row>
    <row r="1393" spans="1:11" x14ac:dyDescent="0.25">
      <c r="A1393" t="s">
        <v>1280</v>
      </c>
      <c r="B1393" t="s">
        <v>230</v>
      </c>
      <c r="C1393" t="s">
        <v>1281</v>
      </c>
      <c r="D1393">
        <v>865720278</v>
      </c>
      <c r="E1393" t="s">
        <v>9</v>
      </c>
      <c r="F1393" s="1">
        <v>45573</v>
      </c>
      <c r="G1393" t="s">
        <v>440</v>
      </c>
      <c r="H1393" s="2">
        <v>1790.98</v>
      </c>
      <c r="I1393" t="s">
        <v>507</v>
      </c>
      <c r="J1393" t="s">
        <v>22</v>
      </c>
      <c r="K1393" t="s">
        <v>16</v>
      </c>
    </row>
    <row r="1394" spans="1:11" x14ac:dyDescent="0.25">
      <c r="A1394" t="s">
        <v>1474</v>
      </c>
      <c r="B1394" t="s">
        <v>303</v>
      </c>
      <c r="C1394" t="s">
        <v>1475</v>
      </c>
      <c r="D1394">
        <v>913698982</v>
      </c>
      <c r="E1394" t="s">
        <v>18</v>
      </c>
      <c r="F1394" s="1">
        <v>45744</v>
      </c>
      <c r="G1394" t="s">
        <v>47</v>
      </c>
      <c r="H1394" s="2">
        <v>482.91</v>
      </c>
      <c r="I1394" t="s">
        <v>25</v>
      </c>
      <c r="J1394" t="s">
        <v>11</v>
      </c>
      <c r="K1394" t="s">
        <v>16</v>
      </c>
    </row>
    <row r="1395" spans="1:11" x14ac:dyDescent="0.25">
      <c r="A1395" t="s">
        <v>713</v>
      </c>
      <c r="B1395" t="s">
        <v>82</v>
      </c>
      <c r="C1395" t="s">
        <v>714</v>
      </c>
      <c r="D1395">
        <v>708352673</v>
      </c>
      <c r="E1395" t="s">
        <v>9</v>
      </c>
      <c r="F1395" s="1">
        <v>45368</v>
      </c>
      <c r="G1395" t="s">
        <v>14</v>
      </c>
      <c r="H1395" s="2">
        <v>526.95000000000005</v>
      </c>
      <c r="I1395" t="s">
        <v>25</v>
      </c>
      <c r="J1395" t="s">
        <v>33</v>
      </c>
      <c r="K1395" t="s">
        <v>16</v>
      </c>
    </row>
    <row r="1396" spans="1:11" x14ac:dyDescent="0.25">
      <c r="A1396" t="s">
        <v>1476</v>
      </c>
      <c r="B1396" t="s">
        <v>77</v>
      </c>
      <c r="C1396" t="s">
        <v>1477</v>
      </c>
      <c r="D1396">
        <v>727357321</v>
      </c>
      <c r="E1396" t="s">
        <v>13</v>
      </c>
      <c r="F1396" s="1">
        <v>45650</v>
      </c>
      <c r="G1396" t="s">
        <v>603</v>
      </c>
      <c r="H1396" s="2">
        <v>231.36</v>
      </c>
      <c r="I1396" t="s">
        <v>25</v>
      </c>
      <c r="J1396" t="s">
        <v>22</v>
      </c>
      <c r="K1396" t="s">
        <v>12</v>
      </c>
    </row>
    <row r="1397" spans="1:11" x14ac:dyDescent="0.25">
      <c r="A1397" t="s">
        <v>471</v>
      </c>
      <c r="B1397" t="s">
        <v>311</v>
      </c>
      <c r="C1397" t="s">
        <v>472</v>
      </c>
      <c r="D1397">
        <v>892859188</v>
      </c>
      <c r="E1397" t="s">
        <v>9</v>
      </c>
      <c r="F1397" s="1">
        <v>45409</v>
      </c>
      <c r="G1397" t="s">
        <v>32</v>
      </c>
      <c r="H1397" s="2">
        <v>1154.99</v>
      </c>
      <c r="I1397" t="s">
        <v>25</v>
      </c>
      <c r="J1397" t="s">
        <v>11</v>
      </c>
      <c r="K1397" t="s">
        <v>12</v>
      </c>
    </row>
    <row r="1398" spans="1:11" x14ac:dyDescent="0.25">
      <c r="A1398" t="s">
        <v>818</v>
      </c>
      <c r="B1398" t="s">
        <v>322</v>
      </c>
      <c r="C1398" t="s">
        <v>819</v>
      </c>
      <c r="D1398">
        <v>745740326</v>
      </c>
      <c r="E1398" t="s">
        <v>13</v>
      </c>
      <c r="F1398" s="1">
        <v>45230</v>
      </c>
      <c r="G1398" t="s">
        <v>460</v>
      </c>
      <c r="H1398" s="2">
        <v>117.32</v>
      </c>
      <c r="I1398" t="s">
        <v>25</v>
      </c>
      <c r="J1398" t="s">
        <v>11</v>
      </c>
      <c r="K1398" t="s">
        <v>16</v>
      </c>
    </row>
    <row r="1399" spans="1:11" x14ac:dyDescent="0.25">
      <c r="A1399" t="s">
        <v>883</v>
      </c>
      <c r="B1399" t="s">
        <v>335</v>
      </c>
      <c r="C1399" t="s">
        <v>884</v>
      </c>
      <c r="D1399">
        <v>707057282</v>
      </c>
      <c r="E1399" t="s">
        <v>13</v>
      </c>
      <c r="F1399" s="1">
        <v>45599</v>
      </c>
      <c r="G1399" t="s">
        <v>24</v>
      </c>
      <c r="H1399" s="2">
        <v>1792.38</v>
      </c>
      <c r="I1399" t="s">
        <v>25</v>
      </c>
      <c r="J1399" t="s">
        <v>11</v>
      </c>
      <c r="K1399" t="s">
        <v>16</v>
      </c>
    </row>
    <row r="1400" spans="1:11" x14ac:dyDescent="0.25">
      <c r="A1400" t="s">
        <v>1190</v>
      </c>
      <c r="B1400" t="s">
        <v>117</v>
      </c>
      <c r="C1400" t="s">
        <v>1191</v>
      </c>
      <c r="D1400">
        <v>716077636</v>
      </c>
      <c r="E1400" t="s">
        <v>18</v>
      </c>
      <c r="F1400" s="1">
        <v>45789</v>
      </c>
      <c r="G1400" t="s">
        <v>624</v>
      </c>
      <c r="H1400" s="2">
        <v>915.56</v>
      </c>
      <c r="I1400" t="s">
        <v>25</v>
      </c>
      <c r="J1400" t="s">
        <v>22</v>
      </c>
      <c r="K1400" t="s">
        <v>16</v>
      </c>
    </row>
    <row r="1401" spans="1:11" x14ac:dyDescent="0.25">
      <c r="A1401" t="s">
        <v>1168</v>
      </c>
      <c r="B1401" t="s">
        <v>74</v>
      </c>
      <c r="C1401" t="s">
        <v>1169</v>
      </c>
      <c r="D1401">
        <v>721034679</v>
      </c>
      <c r="E1401" t="s">
        <v>9</v>
      </c>
      <c r="F1401" s="1">
        <v>45250</v>
      </c>
      <c r="G1401" t="s">
        <v>603</v>
      </c>
      <c r="H1401" s="2">
        <v>667.54</v>
      </c>
      <c r="I1401" t="s">
        <v>25</v>
      </c>
      <c r="J1401" t="s">
        <v>22</v>
      </c>
      <c r="K1401" t="s">
        <v>16</v>
      </c>
    </row>
    <row r="1402" spans="1:11" x14ac:dyDescent="0.25">
      <c r="A1402" t="s">
        <v>612</v>
      </c>
      <c r="B1402" t="s">
        <v>308</v>
      </c>
      <c r="C1402" t="s">
        <v>613</v>
      </c>
      <c r="D1402">
        <v>702654485</v>
      </c>
      <c r="E1402" t="s">
        <v>9</v>
      </c>
      <c r="F1402" s="1">
        <v>45197</v>
      </c>
      <c r="G1402" t="s">
        <v>418</v>
      </c>
      <c r="H1402" s="2">
        <v>1621.26</v>
      </c>
      <c r="I1402" t="s">
        <v>25</v>
      </c>
      <c r="J1402" t="s">
        <v>22</v>
      </c>
      <c r="K1402" t="s">
        <v>16</v>
      </c>
    </row>
    <row r="1403" spans="1:11" x14ac:dyDescent="0.25">
      <c r="A1403" t="s">
        <v>870</v>
      </c>
      <c r="B1403" t="s">
        <v>89</v>
      </c>
      <c r="C1403" t="s">
        <v>871</v>
      </c>
      <c r="D1403">
        <v>728307481</v>
      </c>
      <c r="E1403" t="s">
        <v>9</v>
      </c>
      <c r="F1403" s="1">
        <v>45642</v>
      </c>
      <c r="G1403" t="s">
        <v>14</v>
      </c>
      <c r="H1403" s="2">
        <v>892.02</v>
      </c>
      <c r="I1403" t="s">
        <v>444</v>
      </c>
      <c r="J1403" t="s">
        <v>11</v>
      </c>
      <c r="K1403" t="s">
        <v>12</v>
      </c>
    </row>
    <row r="1404" spans="1:11" x14ac:dyDescent="0.25">
      <c r="A1404" t="s">
        <v>1139</v>
      </c>
      <c r="B1404" t="s">
        <v>217</v>
      </c>
      <c r="C1404" t="s">
        <v>1140</v>
      </c>
      <c r="D1404">
        <v>646689911</v>
      </c>
      <c r="E1404" t="s">
        <v>9</v>
      </c>
      <c r="F1404" s="1">
        <v>45503</v>
      </c>
      <c r="G1404" t="s">
        <v>10</v>
      </c>
      <c r="H1404" s="2">
        <v>1544.42</v>
      </c>
      <c r="I1404" t="s">
        <v>25</v>
      </c>
      <c r="J1404" t="s">
        <v>22</v>
      </c>
      <c r="K1404" t="s">
        <v>12</v>
      </c>
    </row>
    <row r="1405" spans="1:11" x14ac:dyDescent="0.25">
      <c r="A1405" t="s">
        <v>782</v>
      </c>
      <c r="B1405" t="s">
        <v>280</v>
      </c>
      <c r="C1405" t="s">
        <v>783</v>
      </c>
      <c r="D1405">
        <v>735063785</v>
      </c>
      <c r="E1405" t="s">
        <v>18</v>
      </c>
      <c r="F1405" s="1">
        <v>45908</v>
      </c>
      <c r="G1405" t="s">
        <v>415</v>
      </c>
      <c r="H1405" s="2">
        <v>1248.8</v>
      </c>
      <c r="I1405" t="s">
        <v>25</v>
      </c>
      <c r="J1405" t="s">
        <v>22</v>
      </c>
      <c r="K1405" t="s">
        <v>16</v>
      </c>
    </row>
    <row r="1406" spans="1:11" x14ac:dyDescent="0.25">
      <c r="A1406" t="s">
        <v>1072</v>
      </c>
      <c r="B1406" t="s">
        <v>215</v>
      </c>
      <c r="C1406" t="s">
        <v>1073</v>
      </c>
      <c r="D1406">
        <v>729651240</v>
      </c>
      <c r="E1406" t="s">
        <v>9</v>
      </c>
      <c r="F1406" s="1">
        <v>45699</v>
      </c>
      <c r="G1406" t="s">
        <v>460</v>
      </c>
      <c r="H1406" s="2">
        <v>1713.19</v>
      </c>
      <c r="I1406" t="s">
        <v>25</v>
      </c>
      <c r="J1406" t="s">
        <v>22</v>
      </c>
      <c r="K1406" t="s">
        <v>12</v>
      </c>
    </row>
    <row r="1407" spans="1:11" x14ac:dyDescent="0.25">
      <c r="A1407" t="s">
        <v>551</v>
      </c>
      <c r="B1407" t="s">
        <v>333</v>
      </c>
      <c r="C1407" t="s">
        <v>552</v>
      </c>
      <c r="D1407">
        <v>907654118</v>
      </c>
      <c r="E1407" t="s">
        <v>9</v>
      </c>
      <c r="F1407" s="1">
        <v>45428</v>
      </c>
      <c r="G1407" t="s">
        <v>423</v>
      </c>
      <c r="H1407" s="2">
        <v>985</v>
      </c>
      <c r="I1407" t="s">
        <v>25</v>
      </c>
      <c r="J1407" t="s">
        <v>26</v>
      </c>
      <c r="K1407" t="s">
        <v>16</v>
      </c>
    </row>
    <row r="1408" spans="1:11" x14ac:dyDescent="0.25">
      <c r="A1408" t="s">
        <v>616</v>
      </c>
      <c r="B1408" t="s">
        <v>17</v>
      </c>
      <c r="C1408" t="s">
        <v>617</v>
      </c>
      <c r="D1408">
        <v>802128905</v>
      </c>
      <c r="E1408" t="s">
        <v>9</v>
      </c>
      <c r="F1408" s="1">
        <v>45233</v>
      </c>
      <c r="G1408" t="s">
        <v>412</v>
      </c>
      <c r="H1408" s="2">
        <v>1263.26</v>
      </c>
      <c r="I1408" t="s">
        <v>25</v>
      </c>
      <c r="J1408" t="s">
        <v>15</v>
      </c>
      <c r="K1408" t="s">
        <v>16</v>
      </c>
    </row>
    <row r="1409" spans="1:11" x14ac:dyDescent="0.25">
      <c r="A1409" t="s">
        <v>1257</v>
      </c>
      <c r="B1409" t="s">
        <v>135</v>
      </c>
      <c r="C1409" t="s">
        <v>1258</v>
      </c>
      <c r="D1409">
        <v>876896889</v>
      </c>
      <c r="E1409" t="s">
        <v>18</v>
      </c>
      <c r="F1409" s="1">
        <v>45841</v>
      </c>
      <c r="G1409" t="s">
        <v>475</v>
      </c>
      <c r="H1409" s="2">
        <v>99.33</v>
      </c>
      <c r="I1409" t="s">
        <v>25</v>
      </c>
      <c r="J1409" t="s">
        <v>33</v>
      </c>
      <c r="K1409" t="s">
        <v>16</v>
      </c>
    </row>
    <row r="1410" spans="1:11" x14ac:dyDescent="0.25">
      <c r="A1410" t="s">
        <v>1478</v>
      </c>
      <c r="B1410" t="s">
        <v>213</v>
      </c>
      <c r="C1410" t="s">
        <v>1479</v>
      </c>
      <c r="D1410">
        <v>627548062</v>
      </c>
      <c r="E1410" t="s">
        <v>9</v>
      </c>
      <c r="F1410" s="1">
        <v>45448</v>
      </c>
      <c r="G1410" t="s">
        <v>440</v>
      </c>
      <c r="H1410" s="2">
        <v>1170.5999999999999</v>
      </c>
      <c r="I1410" t="s">
        <v>25</v>
      </c>
      <c r="J1410" t="s">
        <v>33</v>
      </c>
      <c r="K1410" t="s">
        <v>16</v>
      </c>
    </row>
    <row r="1411" spans="1:11" x14ac:dyDescent="0.25">
      <c r="A1411" t="s">
        <v>1062</v>
      </c>
      <c r="B1411" t="s">
        <v>258</v>
      </c>
      <c r="C1411" t="s">
        <v>1063</v>
      </c>
      <c r="D1411">
        <v>746921271</v>
      </c>
      <c r="E1411" t="s">
        <v>18</v>
      </c>
      <c r="F1411" s="1">
        <v>45225</v>
      </c>
      <c r="G1411" t="s">
        <v>19</v>
      </c>
      <c r="H1411" s="2">
        <v>607.09</v>
      </c>
      <c r="I1411" t="s">
        <v>25</v>
      </c>
      <c r="J1411" t="s">
        <v>11</v>
      </c>
      <c r="K1411" t="s">
        <v>12</v>
      </c>
    </row>
    <row r="1412" spans="1:11" x14ac:dyDescent="0.25">
      <c r="A1412" t="s">
        <v>1448</v>
      </c>
      <c r="B1412" t="s">
        <v>73</v>
      </c>
      <c r="C1412" t="s">
        <v>1449</v>
      </c>
      <c r="D1412">
        <v>707412179</v>
      </c>
      <c r="E1412" t="s">
        <v>18</v>
      </c>
      <c r="F1412" s="1">
        <v>45799</v>
      </c>
      <c r="G1412" t="s">
        <v>423</v>
      </c>
      <c r="H1412" s="2">
        <v>594.82000000000005</v>
      </c>
      <c r="I1412" t="s">
        <v>25</v>
      </c>
      <c r="J1412" t="s">
        <v>11</v>
      </c>
      <c r="K1412" t="s">
        <v>12</v>
      </c>
    </row>
    <row r="1413" spans="1:11" x14ac:dyDescent="0.25">
      <c r="A1413" t="s">
        <v>1218</v>
      </c>
      <c r="B1413" t="s">
        <v>126</v>
      </c>
      <c r="C1413" t="s">
        <v>1219</v>
      </c>
      <c r="D1413">
        <v>746241600</v>
      </c>
      <c r="E1413" t="s">
        <v>9</v>
      </c>
      <c r="F1413" s="1">
        <v>45240</v>
      </c>
      <c r="G1413" t="s">
        <v>21</v>
      </c>
      <c r="H1413" s="2">
        <v>63.74</v>
      </c>
      <c r="I1413" t="s">
        <v>25</v>
      </c>
      <c r="J1413" t="s">
        <v>22</v>
      </c>
      <c r="K1413" t="s">
        <v>12</v>
      </c>
    </row>
    <row r="1414" spans="1:11" x14ac:dyDescent="0.25">
      <c r="A1414" t="s">
        <v>1480</v>
      </c>
      <c r="B1414" t="s">
        <v>292</v>
      </c>
      <c r="C1414" t="s">
        <v>1481</v>
      </c>
      <c r="D1414">
        <v>735430705</v>
      </c>
      <c r="E1414" t="s">
        <v>18</v>
      </c>
      <c r="F1414" s="1">
        <v>45449</v>
      </c>
      <c r="G1414" t="s">
        <v>21</v>
      </c>
      <c r="H1414" s="2">
        <v>96.19</v>
      </c>
      <c r="I1414" t="s">
        <v>25</v>
      </c>
      <c r="J1414" t="s">
        <v>36</v>
      </c>
      <c r="K1414" t="s">
        <v>16</v>
      </c>
    </row>
    <row r="1415" spans="1:11" x14ac:dyDescent="0.25">
      <c r="A1415" t="s">
        <v>647</v>
      </c>
      <c r="B1415" t="s">
        <v>225</v>
      </c>
      <c r="C1415" t="s">
        <v>648</v>
      </c>
      <c r="D1415">
        <v>979540496</v>
      </c>
      <c r="E1415" t="s">
        <v>9</v>
      </c>
      <c r="F1415" s="1">
        <v>45546</v>
      </c>
      <c r="G1415" t="s">
        <v>423</v>
      </c>
      <c r="H1415" s="2">
        <v>1570.27</v>
      </c>
      <c r="I1415" t="s">
        <v>25</v>
      </c>
      <c r="J1415" t="s">
        <v>22</v>
      </c>
      <c r="K1415" t="s">
        <v>12</v>
      </c>
    </row>
    <row r="1416" spans="1:11" x14ac:dyDescent="0.25">
      <c r="A1416" t="s">
        <v>1318</v>
      </c>
      <c r="B1416" t="s">
        <v>1319</v>
      </c>
      <c r="C1416" t="s">
        <v>1320</v>
      </c>
      <c r="D1416">
        <v>947659636</v>
      </c>
      <c r="E1416" t="s">
        <v>18</v>
      </c>
      <c r="F1416" s="1">
        <v>45414</v>
      </c>
      <c r="G1416" t="s">
        <v>624</v>
      </c>
      <c r="H1416" s="2">
        <v>985.96</v>
      </c>
      <c r="I1416" t="s">
        <v>25</v>
      </c>
      <c r="J1416" t="s">
        <v>26</v>
      </c>
      <c r="K1416" t="s">
        <v>12</v>
      </c>
    </row>
    <row r="1417" spans="1:11" x14ac:dyDescent="0.25">
      <c r="A1417" t="s">
        <v>1398</v>
      </c>
      <c r="B1417" t="s">
        <v>750</v>
      </c>
      <c r="C1417" t="s">
        <v>1399</v>
      </c>
      <c r="D1417">
        <v>986129822</v>
      </c>
      <c r="E1417" t="s">
        <v>9</v>
      </c>
      <c r="F1417" s="1">
        <v>45500</v>
      </c>
      <c r="G1417" t="s">
        <v>475</v>
      </c>
      <c r="H1417" s="2">
        <v>1783.16</v>
      </c>
      <c r="I1417" t="s">
        <v>25</v>
      </c>
      <c r="J1417" t="s">
        <v>22</v>
      </c>
      <c r="K1417" t="s">
        <v>12</v>
      </c>
    </row>
    <row r="1418" spans="1:11" x14ac:dyDescent="0.25">
      <c r="A1418" t="s">
        <v>1117</v>
      </c>
      <c r="B1418" t="s">
        <v>159</v>
      </c>
      <c r="C1418" t="s">
        <v>1118</v>
      </c>
      <c r="D1418">
        <v>847920353</v>
      </c>
      <c r="E1418" t="s">
        <v>9</v>
      </c>
      <c r="F1418" s="1">
        <v>45490</v>
      </c>
      <c r="G1418" t="s">
        <v>47</v>
      </c>
      <c r="H1418" s="2">
        <v>1382.33</v>
      </c>
      <c r="I1418" t="s">
        <v>25</v>
      </c>
      <c r="J1418" t="s">
        <v>22</v>
      </c>
      <c r="K1418" t="s">
        <v>16</v>
      </c>
    </row>
    <row r="1419" spans="1:11" x14ac:dyDescent="0.25">
      <c r="A1419" t="s">
        <v>1318</v>
      </c>
      <c r="B1419" t="s">
        <v>1319</v>
      </c>
      <c r="C1419" t="s">
        <v>1320</v>
      </c>
      <c r="D1419">
        <v>947659636</v>
      </c>
      <c r="E1419" t="s">
        <v>18</v>
      </c>
      <c r="F1419" s="1">
        <v>45639</v>
      </c>
      <c r="G1419" t="s">
        <v>624</v>
      </c>
      <c r="H1419" s="2">
        <v>1183.04</v>
      </c>
      <c r="I1419" t="s">
        <v>25</v>
      </c>
      <c r="J1419" t="s">
        <v>11</v>
      </c>
      <c r="K1419" t="s">
        <v>16</v>
      </c>
    </row>
    <row r="1420" spans="1:11" x14ac:dyDescent="0.25">
      <c r="A1420" t="s">
        <v>1178</v>
      </c>
      <c r="B1420" t="s">
        <v>97</v>
      </c>
      <c r="C1420" t="s">
        <v>1179</v>
      </c>
      <c r="D1420">
        <v>742697581</v>
      </c>
      <c r="E1420" t="s">
        <v>9</v>
      </c>
      <c r="F1420" s="1">
        <v>45317</v>
      </c>
      <c r="G1420" t="s">
        <v>440</v>
      </c>
      <c r="H1420" s="2">
        <v>819.66</v>
      </c>
      <c r="I1420" t="s">
        <v>25</v>
      </c>
      <c r="J1420" t="s">
        <v>36</v>
      </c>
      <c r="K1420" t="s">
        <v>16</v>
      </c>
    </row>
    <row r="1421" spans="1:11" x14ac:dyDescent="0.25">
      <c r="A1421" t="s">
        <v>1371</v>
      </c>
      <c r="B1421" t="s">
        <v>175</v>
      </c>
      <c r="C1421" t="s">
        <v>1372</v>
      </c>
      <c r="D1421">
        <v>667187938</v>
      </c>
      <c r="E1421" t="s">
        <v>18</v>
      </c>
      <c r="F1421" s="1">
        <v>45650</v>
      </c>
      <c r="G1421" t="s">
        <v>423</v>
      </c>
      <c r="H1421" s="2">
        <v>266.75</v>
      </c>
      <c r="I1421" t="s">
        <v>25</v>
      </c>
      <c r="J1421" t="s">
        <v>33</v>
      </c>
      <c r="K1421" t="s">
        <v>16</v>
      </c>
    </row>
    <row r="1422" spans="1:11" x14ac:dyDescent="0.25">
      <c r="A1422" t="s">
        <v>796</v>
      </c>
      <c r="B1422" t="s">
        <v>20</v>
      </c>
      <c r="C1422" t="s">
        <v>797</v>
      </c>
      <c r="D1422">
        <v>741679878</v>
      </c>
      <c r="E1422" t="s">
        <v>9</v>
      </c>
      <c r="F1422" s="1">
        <v>45609</v>
      </c>
      <c r="G1422" t="s">
        <v>440</v>
      </c>
      <c r="H1422" s="2">
        <v>1040.74</v>
      </c>
      <c r="I1422" t="s">
        <v>25</v>
      </c>
      <c r="J1422" t="s">
        <v>11</v>
      </c>
      <c r="K1422" t="s">
        <v>12</v>
      </c>
    </row>
    <row r="1423" spans="1:11" x14ac:dyDescent="0.25">
      <c r="A1423" t="s">
        <v>1245</v>
      </c>
      <c r="B1423" t="s">
        <v>290</v>
      </c>
      <c r="C1423" t="s">
        <v>1246</v>
      </c>
      <c r="D1423">
        <v>966229025</v>
      </c>
      <c r="E1423" t="s">
        <v>9</v>
      </c>
      <c r="F1423" s="1">
        <v>45758</v>
      </c>
      <c r="G1423" t="s">
        <v>518</v>
      </c>
      <c r="H1423" s="2">
        <v>232.46</v>
      </c>
      <c r="I1423" t="s">
        <v>25</v>
      </c>
      <c r="J1423" t="s">
        <v>22</v>
      </c>
      <c r="K1423" t="s">
        <v>16</v>
      </c>
    </row>
    <row r="1424" spans="1:11" x14ac:dyDescent="0.25">
      <c r="A1424" t="s">
        <v>1400</v>
      </c>
      <c r="B1424" t="s">
        <v>65</v>
      </c>
      <c r="C1424" t="s">
        <v>1401</v>
      </c>
      <c r="D1424">
        <v>739254068</v>
      </c>
      <c r="E1424" t="s">
        <v>18</v>
      </c>
      <c r="F1424" s="1">
        <v>45767</v>
      </c>
      <c r="G1424" t="s">
        <v>440</v>
      </c>
      <c r="H1424" s="2">
        <v>621.54</v>
      </c>
      <c r="I1424" t="s">
        <v>25</v>
      </c>
      <c r="J1424" t="s">
        <v>11</v>
      </c>
      <c r="K1424" t="s">
        <v>12</v>
      </c>
    </row>
    <row r="1425" spans="1:11" x14ac:dyDescent="0.25">
      <c r="A1425" t="s">
        <v>1381</v>
      </c>
      <c r="B1425" t="s">
        <v>186</v>
      </c>
      <c r="C1425" t="s">
        <v>1382</v>
      </c>
      <c r="D1425">
        <v>728753739</v>
      </c>
      <c r="E1425" t="s">
        <v>18</v>
      </c>
      <c r="F1425" s="1">
        <v>45855</v>
      </c>
      <c r="G1425" t="s">
        <v>423</v>
      </c>
      <c r="H1425" s="2">
        <v>1512.09</v>
      </c>
      <c r="I1425" t="s">
        <v>25</v>
      </c>
      <c r="J1425" t="s">
        <v>33</v>
      </c>
      <c r="K1425" t="s">
        <v>16</v>
      </c>
    </row>
    <row r="1426" spans="1:11" x14ac:dyDescent="0.25">
      <c r="A1426" t="s">
        <v>1482</v>
      </c>
      <c r="B1426" t="s">
        <v>42</v>
      </c>
      <c r="C1426" t="s">
        <v>1483</v>
      </c>
      <c r="D1426">
        <v>717884174</v>
      </c>
      <c r="E1426" t="s">
        <v>9</v>
      </c>
      <c r="F1426" s="1">
        <v>45412</v>
      </c>
      <c r="G1426" t="s">
        <v>506</v>
      </c>
      <c r="H1426" s="2">
        <v>1598.05</v>
      </c>
      <c r="I1426" t="s">
        <v>25</v>
      </c>
      <c r="J1426" t="s">
        <v>22</v>
      </c>
      <c r="K1426" t="s">
        <v>12</v>
      </c>
    </row>
    <row r="1427" spans="1:11" x14ac:dyDescent="0.25">
      <c r="A1427" t="s">
        <v>800</v>
      </c>
      <c r="B1427" t="s">
        <v>281</v>
      </c>
      <c r="C1427" t="s">
        <v>801</v>
      </c>
      <c r="D1427">
        <v>737403719</v>
      </c>
      <c r="E1427" t="s">
        <v>18</v>
      </c>
      <c r="F1427" s="1">
        <v>45459</v>
      </c>
      <c r="G1427" t="s">
        <v>19</v>
      </c>
      <c r="H1427" s="2">
        <v>435.87</v>
      </c>
      <c r="I1427" t="s">
        <v>25</v>
      </c>
      <c r="J1427" t="s">
        <v>36</v>
      </c>
      <c r="K1427" t="s">
        <v>16</v>
      </c>
    </row>
    <row r="1428" spans="1:11" x14ac:dyDescent="0.25">
      <c r="A1428" t="s">
        <v>1050</v>
      </c>
      <c r="B1428" t="s">
        <v>380</v>
      </c>
      <c r="C1428" t="s">
        <v>1051</v>
      </c>
      <c r="D1428">
        <v>724173510</v>
      </c>
      <c r="E1428" t="s">
        <v>9</v>
      </c>
      <c r="F1428" s="1">
        <v>45410</v>
      </c>
      <c r="G1428" t="s">
        <v>506</v>
      </c>
      <c r="H1428" s="2">
        <v>641.16</v>
      </c>
      <c r="I1428" t="s">
        <v>25</v>
      </c>
      <c r="J1428" t="s">
        <v>33</v>
      </c>
      <c r="K1428" t="s">
        <v>16</v>
      </c>
    </row>
    <row r="1429" spans="1:11" x14ac:dyDescent="0.25">
      <c r="A1429" t="s">
        <v>1391</v>
      </c>
      <c r="B1429" t="s">
        <v>1392</v>
      </c>
      <c r="C1429" t="s">
        <v>1393</v>
      </c>
      <c r="D1429">
        <v>745949966</v>
      </c>
      <c r="E1429" t="s">
        <v>13</v>
      </c>
      <c r="F1429" s="1">
        <v>45679</v>
      </c>
      <c r="G1429" t="s">
        <v>21</v>
      </c>
      <c r="H1429" s="2">
        <v>411.68</v>
      </c>
      <c r="I1429" t="s">
        <v>25</v>
      </c>
      <c r="J1429" t="s">
        <v>22</v>
      </c>
      <c r="K1429" t="s">
        <v>16</v>
      </c>
    </row>
    <row r="1430" spans="1:11" x14ac:dyDescent="0.25">
      <c r="A1430" t="s">
        <v>1030</v>
      </c>
      <c r="B1430" t="s">
        <v>253</v>
      </c>
      <c r="C1430" t="s">
        <v>1031</v>
      </c>
      <c r="D1430">
        <v>921591687</v>
      </c>
      <c r="E1430" t="s">
        <v>9</v>
      </c>
      <c r="F1430" s="1">
        <v>45524</v>
      </c>
      <c r="G1430" t="s">
        <v>415</v>
      </c>
      <c r="H1430" s="2">
        <v>114.68</v>
      </c>
      <c r="I1430" t="s">
        <v>25</v>
      </c>
      <c r="J1430" t="s">
        <v>33</v>
      </c>
      <c r="K1430" t="s">
        <v>12</v>
      </c>
    </row>
    <row r="1431" spans="1:11" x14ac:dyDescent="0.25">
      <c r="A1431" t="s">
        <v>597</v>
      </c>
      <c r="B1431" t="s">
        <v>171</v>
      </c>
      <c r="C1431" t="s">
        <v>598</v>
      </c>
      <c r="D1431">
        <v>733027275</v>
      </c>
      <c r="E1431" t="s">
        <v>18</v>
      </c>
      <c r="F1431" s="1">
        <v>45298</v>
      </c>
      <c r="G1431" t="s">
        <v>19</v>
      </c>
      <c r="H1431" s="2">
        <v>468.87</v>
      </c>
      <c r="I1431" t="s">
        <v>507</v>
      </c>
      <c r="J1431" t="s">
        <v>11</v>
      </c>
      <c r="K1431" t="s">
        <v>12</v>
      </c>
    </row>
    <row r="1432" spans="1:11" x14ac:dyDescent="0.25">
      <c r="A1432" t="s">
        <v>778</v>
      </c>
      <c r="B1432" t="s">
        <v>162</v>
      </c>
      <c r="C1432" t="s">
        <v>779</v>
      </c>
      <c r="D1432">
        <v>859523189</v>
      </c>
      <c r="E1432" t="s">
        <v>9</v>
      </c>
      <c r="F1432" s="1">
        <v>45882</v>
      </c>
      <c r="G1432" t="s">
        <v>19</v>
      </c>
      <c r="H1432" s="2">
        <v>1871.25</v>
      </c>
      <c r="I1432" t="s">
        <v>25</v>
      </c>
      <c r="J1432" t="s">
        <v>26</v>
      </c>
      <c r="K1432" t="s">
        <v>16</v>
      </c>
    </row>
    <row r="1433" spans="1:11" x14ac:dyDescent="0.25">
      <c r="A1433" t="s">
        <v>903</v>
      </c>
      <c r="B1433" t="s">
        <v>113</v>
      </c>
      <c r="C1433" t="s">
        <v>904</v>
      </c>
      <c r="D1433">
        <v>680373214</v>
      </c>
      <c r="E1433" t="s">
        <v>9</v>
      </c>
      <c r="F1433" s="1">
        <v>45825</v>
      </c>
      <c r="G1433" t="s">
        <v>21</v>
      </c>
      <c r="H1433" s="2">
        <v>1718.63</v>
      </c>
      <c r="I1433" t="s">
        <v>25</v>
      </c>
      <c r="J1433" t="s">
        <v>22</v>
      </c>
      <c r="K1433" t="s">
        <v>16</v>
      </c>
    </row>
    <row r="1434" spans="1:11" x14ac:dyDescent="0.25">
      <c r="A1434" t="s">
        <v>1363</v>
      </c>
      <c r="B1434" t="s">
        <v>374</v>
      </c>
      <c r="C1434" t="s">
        <v>1364</v>
      </c>
      <c r="D1434">
        <v>718783075</v>
      </c>
      <c r="E1434" t="s">
        <v>18</v>
      </c>
      <c r="F1434" s="1">
        <v>45501</v>
      </c>
      <c r="G1434" t="s">
        <v>29</v>
      </c>
      <c r="H1434" s="2">
        <v>846</v>
      </c>
      <c r="I1434" t="s">
        <v>25</v>
      </c>
      <c r="J1434" t="s">
        <v>26</v>
      </c>
      <c r="K1434" t="s">
        <v>16</v>
      </c>
    </row>
    <row r="1435" spans="1:11" x14ac:dyDescent="0.25">
      <c r="A1435" t="s">
        <v>1228</v>
      </c>
      <c r="B1435" t="s">
        <v>203</v>
      </c>
      <c r="C1435" t="s">
        <v>1229</v>
      </c>
      <c r="D1435">
        <v>719517916</v>
      </c>
      <c r="E1435" t="s">
        <v>9</v>
      </c>
      <c r="F1435" s="1">
        <v>45779</v>
      </c>
      <c r="G1435" t="s">
        <v>19</v>
      </c>
      <c r="H1435" s="2">
        <v>1439.44</v>
      </c>
      <c r="I1435" t="s">
        <v>507</v>
      </c>
      <c r="J1435" t="s">
        <v>26</v>
      </c>
      <c r="K1435" t="s">
        <v>12</v>
      </c>
    </row>
    <row r="1436" spans="1:11" x14ac:dyDescent="0.25">
      <c r="A1436" t="s">
        <v>968</v>
      </c>
      <c r="B1436" t="s">
        <v>148</v>
      </c>
      <c r="C1436" t="s">
        <v>969</v>
      </c>
      <c r="D1436">
        <v>678540300</v>
      </c>
      <c r="E1436" t="s">
        <v>9</v>
      </c>
      <c r="F1436" s="1">
        <v>45845</v>
      </c>
      <c r="G1436" t="s">
        <v>10</v>
      </c>
      <c r="H1436" s="2">
        <v>73.650000000000006</v>
      </c>
      <c r="I1436" t="s">
        <v>25</v>
      </c>
      <c r="J1436" t="s">
        <v>36</v>
      </c>
      <c r="K1436" t="s">
        <v>16</v>
      </c>
    </row>
    <row r="1437" spans="1:11" x14ac:dyDescent="0.25">
      <c r="A1437" t="s">
        <v>643</v>
      </c>
      <c r="B1437" t="s">
        <v>389</v>
      </c>
      <c r="C1437" t="s">
        <v>644</v>
      </c>
      <c r="D1437">
        <v>723547702</v>
      </c>
      <c r="E1437" t="s">
        <v>9</v>
      </c>
      <c r="F1437" s="1">
        <v>45600</v>
      </c>
      <c r="G1437" t="s">
        <v>603</v>
      </c>
      <c r="H1437" s="2">
        <v>551.58000000000004</v>
      </c>
      <c r="I1437" t="s">
        <v>507</v>
      </c>
      <c r="J1437" t="s">
        <v>22</v>
      </c>
      <c r="K1437" t="s">
        <v>16</v>
      </c>
    </row>
    <row r="1438" spans="1:11" x14ac:dyDescent="0.25">
      <c r="A1438" t="s">
        <v>1452</v>
      </c>
      <c r="B1438" t="s">
        <v>109</v>
      </c>
      <c r="C1438" t="s">
        <v>1453</v>
      </c>
      <c r="D1438">
        <v>725811590</v>
      </c>
      <c r="E1438" t="s">
        <v>9</v>
      </c>
      <c r="F1438" s="1">
        <v>45329</v>
      </c>
      <c r="G1438" t="s">
        <v>440</v>
      </c>
      <c r="H1438" s="2">
        <v>798.87</v>
      </c>
      <c r="I1438" t="s">
        <v>444</v>
      </c>
      <c r="J1438" t="s">
        <v>22</v>
      </c>
      <c r="K1438" t="s">
        <v>16</v>
      </c>
    </row>
    <row r="1439" spans="1:11" x14ac:dyDescent="0.25">
      <c r="A1439" t="s">
        <v>1484</v>
      </c>
      <c r="B1439" t="s">
        <v>107</v>
      </c>
      <c r="C1439" t="s">
        <v>1485</v>
      </c>
      <c r="D1439">
        <v>706401183</v>
      </c>
      <c r="E1439" t="s">
        <v>18</v>
      </c>
      <c r="F1439" s="1">
        <v>45506</v>
      </c>
      <c r="G1439" t="s">
        <v>24</v>
      </c>
      <c r="H1439" s="2">
        <v>1408.22</v>
      </c>
      <c r="I1439" t="s">
        <v>25</v>
      </c>
      <c r="J1439" t="s">
        <v>33</v>
      </c>
      <c r="K1439" t="s">
        <v>12</v>
      </c>
    </row>
    <row r="1440" spans="1:11" x14ac:dyDescent="0.25">
      <c r="A1440" t="s">
        <v>1257</v>
      </c>
      <c r="B1440" t="s">
        <v>135</v>
      </c>
      <c r="C1440" t="s">
        <v>1258</v>
      </c>
      <c r="D1440">
        <v>876896889</v>
      </c>
      <c r="E1440" t="s">
        <v>18</v>
      </c>
      <c r="F1440" s="1">
        <v>45693</v>
      </c>
      <c r="G1440" t="s">
        <v>475</v>
      </c>
      <c r="H1440" s="2">
        <v>124.46</v>
      </c>
      <c r="I1440" t="s">
        <v>25</v>
      </c>
      <c r="J1440" t="s">
        <v>33</v>
      </c>
      <c r="K1440" t="s">
        <v>16</v>
      </c>
    </row>
    <row r="1441" spans="1:11" x14ac:dyDescent="0.25">
      <c r="A1441" t="s">
        <v>905</v>
      </c>
      <c r="B1441" t="s">
        <v>275</v>
      </c>
      <c r="C1441" t="s">
        <v>906</v>
      </c>
      <c r="D1441">
        <v>907022641</v>
      </c>
      <c r="E1441" t="s">
        <v>9</v>
      </c>
      <c r="F1441" s="1">
        <v>45629</v>
      </c>
      <c r="G1441" t="s">
        <v>21</v>
      </c>
      <c r="H1441" s="2">
        <v>489.61</v>
      </c>
      <c r="I1441" t="s">
        <v>444</v>
      </c>
      <c r="J1441" t="s">
        <v>22</v>
      </c>
      <c r="K1441" t="s">
        <v>12</v>
      </c>
    </row>
    <row r="1442" spans="1:11" x14ac:dyDescent="0.25">
      <c r="A1442" t="s">
        <v>1486</v>
      </c>
      <c r="B1442" t="s">
        <v>143</v>
      </c>
      <c r="C1442" t="s">
        <v>1487</v>
      </c>
      <c r="D1442">
        <v>707166146</v>
      </c>
      <c r="E1442" t="s">
        <v>9</v>
      </c>
      <c r="F1442" s="1">
        <v>45281</v>
      </c>
      <c r="G1442" t="s">
        <v>21</v>
      </c>
      <c r="H1442" s="2">
        <v>947.61</v>
      </c>
      <c r="I1442" t="s">
        <v>25</v>
      </c>
      <c r="J1442" t="s">
        <v>22</v>
      </c>
      <c r="K1442" t="s">
        <v>16</v>
      </c>
    </row>
    <row r="1443" spans="1:11" x14ac:dyDescent="0.25">
      <c r="A1443" t="s">
        <v>525</v>
      </c>
      <c r="B1443" t="s">
        <v>202</v>
      </c>
      <c r="C1443" t="s">
        <v>526</v>
      </c>
      <c r="D1443">
        <v>715742102</v>
      </c>
      <c r="E1443" t="s">
        <v>9</v>
      </c>
      <c r="F1443" s="1">
        <v>45544</v>
      </c>
      <c r="G1443" t="s">
        <v>10</v>
      </c>
      <c r="H1443" s="2">
        <v>1271.07</v>
      </c>
      <c r="I1443" t="s">
        <v>444</v>
      </c>
      <c r="J1443" t="s">
        <v>11</v>
      </c>
      <c r="K1443" t="s">
        <v>12</v>
      </c>
    </row>
    <row r="1444" spans="1:11" x14ac:dyDescent="0.25">
      <c r="A1444" t="s">
        <v>1488</v>
      </c>
      <c r="B1444" t="s">
        <v>63</v>
      </c>
      <c r="C1444" t="s">
        <v>1489</v>
      </c>
      <c r="D1444">
        <v>748033498</v>
      </c>
      <c r="E1444" t="s">
        <v>18</v>
      </c>
      <c r="F1444" s="1">
        <v>45388</v>
      </c>
      <c r="G1444" t="s">
        <v>475</v>
      </c>
      <c r="H1444" s="2">
        <v>1483.06</v>
      </c>
      <c r="I1444" t="s">
        <v>25</v>
      </c>
      <c r="J1444" t="s">
        <v>36</v>
      </c>
      <c r="K1444" t="s">
        <v>16</v>
      </c>
    </row>
    <row r="1445" spans="1:11" x14ac:dyDescent="0.25">
      <c r="A1445" t="s">
        <v>1383</v>
      </c>
      <c r="B1445" t="s">
        <v>226</v>
      </c>
      <c r="C1445" t="s">
        <v>1384</v>
      </c>
      <c r="D1445">
        <v>712172275</v>
      </c>
      <c r="E1445" t="s">
        <v>9</v>
      </c>
      <c r="F1445" s="1">
        <v>45660</v>
      </c>
      <c r="G1445" t="s">
        <v>415</v>
      </c>
      <c r="H1445" s="2">
        <v>586.03</v>
      </c>
      <c r="I1445" t="s">
        <v>25</v>
      </c>
      <c r="J1445" t="s">
        <v>22</v>
      </c>
      <c r="K1445" t="s">
        <v>12</v>
      </c>
    </row>
    <row r="1446" spans="1:11" x14ac:dyDescent="0.25">
      <c r="A1446" t="s">
        <v>564</v>
      </c>
      <c r="B1446" t="s">
        <v>146</v>
      </c>
      <c r="C1446" t="s">
        <v>565</v>
      </c>
      <c r="D1446">
        <v>907777259</v>
      </c>
      <c r="E1446" t="s">
        <v>9</v>
      </c>
      <c r="F1446" s="1">
        <v>45844</v>
      </c>
      <c r="G1446" t="s">
        <v>10</v>
      </c>
      <c r="H1446" s="2">
        <v>451.9</v>
      </c>
      <c r="I1446" t="s">
        <v>25</v>
      </c>
      <c r="J1446" t="s">
        <v>22</v>
      </c>
      <c r="K1446" t="s">
        <v>16</v>
      </c>
    </row>
    <row r="1447" spans="1:11" x14ac:dyDescent="0.25">
      <c r="A1447" t="s">
        <v>709</v>
      </c>
      <c r="B1447" t="s">
        <v>57</v>
      </c>
      <c r="C1447" t="s">
        <v>710</v>
      </c>
      <c r="D1447">
        <v>744459838</v>
      </c>
      <c r="E1447" t="s">
        <v>9</v>
      </c>
      <c r="F1447" s="1">
        <v>45350</v>
      </c>
      <c r="G1447" t="s">
        <v>443</v>
      </c>
      <c r="H1447" s="2">
        <v>769.49</v>
      </c>
      <c r="I1447" t="s">
        <v>25</v>
      </c>
      <c r="J1447" t="s">
        <v>22</v>
      </c>
      <c r="K1447" t="s">
        <v>16</v>
      </c>
    </row>
    <row r="1448" spans="1:11" x14ac:dyDescent="0.25">
      <c r="A1448" t="s">
        <v>494</v>
      </c>
      <c r="B1448" t="s">
        <v>263</v>
      </c>
      <c r="C1448" t="s">
        <v>495</v>
      </c>
      <c r="D1448">
        <v>714200847</v>
      </c>
      <c r="E1448" t="s">
        <v>9</v>
      </c>
      <c r="F1448" s="1">
        <v>45502</v>
      </c>
      <c r="G1448" t="s">
        <v>35</v>
      </c>
      <c r="H1448" s="2">
        <v>533.78</v>
      </c>
      <c r="I1448" t="s">
        <v>25</v>
      </c>
      <c r="J1448" t="s">
        <v>22</v>
      </c>
      <c r="K1448" t="s">
        <v>12</v>
      </c>
    </row>
    <row r="1449" spans="1:11" x14ac:dyDescent="0.25">
      <c r="A1449" t="s">
        <v>606</v>
      </c>
      <c r="B1449" t="s">
        <v>75</v>
      </c>
      <c r="C1449" t="s">
        <v>607</v>
      </c>
      <c r="D1449">
        <v>701371902</v>
      </c>
      <c r="E1449" t="s">
        <v>9</v>
      </c>
      <c r="F1449" s="1">
        <v>45365</v>
      </c>
      <c r="G1449" t="s">
        <v>39</v>
      </c>
      <c r="H1449" s="2">
        <v>772.51</v>
      </c>
      <c r="I1449" t="s">
        <v>25</v>
      </c>
      <c r="J1449" t="s">
        <v>22</v>
      </c>
      <c r="K1449" t="s">
        <v>16</v>
      </c>
    </row>
    <row r="1450" spans="1:11" x14ac:dyDescent="0.25">
      <c r="A1450" t="s">
        <v>1438</v>
      </c>
      <c r="B1450" t="s">
        <v>295</v>
      </c>
      <c r="C1450" t="s">
        <v>1439</v>
      </c>
      <c r="D1450">
        <v>698355833</v>
      </c>
      <c r="E1450" t="s">
        <v>18</v>
      </c>
      <c r="F1450" s="1">
        <v>45333</v>
      </c>
      <c r="G1450" t="s">
        <v>415</v>
      </c>
      <c r="H1450" s="2">
        <v>1417.28</v>
      </c>
      <c r="I1450" t="s">
        <v>25</v>
      </c>
      <c r="J1450" t="s">
        <v>36</v>
      </c>
      <c r="K1450" t="s">
        <v>16</v>
      </c>
    </row>
    <row r="1451" spans="1:11" x14ac:dyDescent="0.25">
      <c r="A1451" t="s">
        <v>739</v>
      </c>
      <c r="B1451" t="s">
        <v>147</v>
      </c>
      <c r="C1451" t="s">
        <v>740</v>
      </c>
      <c r="D1451">
        <v>732688394</v>
      </c>
      <c r="E1451" t="s">
        <v>9</v>
      </c>
      <c r="F1451" s="1">
        <v>45498</v>
      </c>
      <c r="G1451" t="s">
        <v>10</v>
      </c>
      <c r="H1451" s="2">
        <v>626.36</v>
      </c>
      <c r="I1451" t="s">
        <v>25</v>
      </c>
      <c r="J1451" t="s">
        <v>22</v>
      </c>
      <c r="K1451" t="s">
        <v>16</v>
      </c>
    </row>
    <row r="1452" spans="1:11" x14ac:dyDescent="0.25">
      <c r="A1452" t="s">
        <v>1151</v>
      </c>
      <c r="B1452" t="s">
        <v>396</v>
      </c>
      <c r="C1452" t="s">
        <v>1152</v>
      </c>
      <c r="D1452">
        <v>741286548</v>
      </c>
      <c r="E1452" t="s">
        <v>18</v>
      </c>
      <c r="F1452" s="1">
        <v>45601</v>
      </c>
      <c r="G1452" t="s">
        <v>443</v>
      </c>
      <c r="H1452" s="2">
        <v>701.91</v>
      </c>
      <c r="I1452" t="s">
        <v>25</v>
      </c>
      <c r="J1452" t="s">
        <v>26</v>
      </c>
      <c r="K1452" t="s">
        <v>16</v>
      </c>
    </row>
    <row r="1453" spans="1:11" x14ac:dyDescent="0.25">
      <c r="A1453" t="s">
        <v>1106</v>
      </c>
      <c r="B1453" t="s">
        <v>144</v>
      </c>
      <c r="C1453" t="s">
        <v>1107</v>
      </c>
      <c r="D1453">
        <v>720043779</v>
      </c>
      <c r="E1453" t="s">
        <v>9</v>
      </c>
      <c r="F1453" s="1">
        <v>45594</v>
      </c>
      <c r="G1453" t="s">
        <v>451</v>
      </c>
      <c r="H1453" s="2">
        <v>464.87</v>
      </c>
      <c r="I1453" t="s">
        <v>25</v>
      </c>
      <c r="J1453" t="s">
        <v>22</v>
      </c>
      <c r="K1453" t="s">
        <v>12</v>
      </c>
    </row>
    <row r="1454" spans="1:11" x14ac:dyDescent="0.25">
      <c r="A1454" t="s">
        <v>519</v>
      </c>
      <c r="B1454" t="s">
        <v>119</v>
      </c>
      <c r="C1454" t="s">
        <v>520</v>
      </c>
      <c r="D1454">
        <v>706921192</v>
      </c>
      <c r="E1454" t="s">
        <v>13</v>
      </c>
      <c r="F1454" s="1">
        <v>45415</v>
      </c>
      <c r="G1454" t="s">
        <v>24</v>
      </c>
      <c r="H1454" s="2">
        <v>1546.92</v>
      </c>
      <c r="I1454" t="s">
        <v>507</v>
      </c>
      <c r="J1454" t="s">
        <v>11</v>
      </c>
      <c r="K1454" t="s">
        <v>12</v>
      </c>
    </row>
    <row r="1455" spans="1:11" x14ac:dyDescent="0.25">
      <c r="A1455" t="s">
        <v>1012</v>
      </c>
      <c r="B1455" t="s">
        <v>192</v>
      </c>
      <c r="C1455" t="s">
        <v>1013</v>
      </c>
      <c r="D1455">
        <v>735892521</v>
      </c>
      <c r="E1455" t="s">
        <v>18</v>
      </c>
      <c r="F1455" s="1">
        <v>45899</v>
      </c>
      <c r="G1455" t="s">
        <v>412</v>
      </c>
      <c r="H1455" s="2">
        <v>559.57000000000005</v>
      </c>
      <c r="I1455" t="s">
        <v>25</v>
      </c>
      <c r="J1455" t="s">
        <v>11</v>
      </c>
      <c r="K1455" t="s">
        <v>12</v>
      </c>
    </row>
    <row r="1456" spans="1:11" x14ac:dyDescent="0.25">
      <c r="A1456" t="s">
        <v>1265</v>
      </c>
      <c r="B1456" t="s">
        <v>86</v>
      </c>
      <c r="C1456" t="s">
        <v>1266</v>
      </c>
      <c r="D1456">
        <v>721786256</v>
      </c>
      <c r="E1456" t="s">
        <v>9</v>
      </c>
      <c r="F1456" s="1">
        <v>45288</v>
      </c>
      <c r="G1456" t="s">
        <v>423</v>
      </c>
      <c r="H1456" s="2">
        <v>294.32</v>
      </c>
      <c r="I1456" t="s">
        <v>25</v>
      </c>
      <c r="J1456" t="s">
        <v>36</v>
      </c>
      <c r="K1456" t="s">
        <v>12</v>
      </c>
    </row>
    <row r="1457" spans="1:11" x14ac:dyDescent="0.25">
      <c r="A1457" t="s">
        <v>701</v>
      </c>
      <c r="B1457" t="s">
        <v>340</v>
      </c>
      <c r="C1457" t="s">
        <v>702</v>
      </c>
      <c r="D1457">
        <v>633388134</v>
      </c>
      <c r="E1457" t="s">
        <v>9</v>
      </c>
      <c r="F1457" s="1">
        <v>45726</v>
      </c>
      <c r="G1457" t="s">
        <v>518</v>
      </c>
      <c r="H1457" s="2">
        <v>1621.97</v>
      </c>
      <c r="I1457" t="s">
        <v>25</v>
      </c>
      <c r="J1457" t="s">
        <v>22</v>
      </c>
      <c r="K1457" t="s">
        <v>12</v>
      </c>
    </row>
    <row r="1458" spans="1:11" x14ac:dyDescent="0.25">
      <c r="A1458" t="s">
        <v>1444</v>
      </c>
      <c r="B1458" t="s">
        <v>90</v>
      </c>
      <c r="C1458" t="s">
        <v>1445</v>
      </c>
      <c r="D1458">
        <v>702219994</v>
      </c>
      <c r="E1458" t="s">
        <v>9</v>
      </c>
      <c r="F1458" s="1">
        <v>45467</v>
      </c>
      <c r="G1458" t="s">
        <v>24</v>
      </c>
      <c r="H1458" s="2">
        <v>866.06</v>
      </c>
      <c r="I1458" t="s">
        <v>507</v>
      </c>
      <c r="J1458" t="s">
        <v>33</v>
      </c>
      <c r="K1458" t="s">
        <v>12</v>
      </c>
    </row>
    <row r="1459" spans="1:11" x14ac:dyDescent="0.25">
      <c r="A1459" t="s">
        <v>727</v>
      </c>
      <c r="B1459" t="s">
        <v>365</v>
      </c>
      <c r="C1459" t="s">
        <v>728</v>
      </c>
      <c r="D1459">
        <v>720179790</v>
      </c>
      <c r="E1459" t="s">
        <v>9</v>
      </c>
      <c r="F1459" s="1">
        <v>45894</v>
      </c>
      <c r="G1459" t="s">
        <v>443</v>
      </c>
      <c r="H1459" s="2">
        <v>1953.28</v>
      </c>
      <c r="I1459" t="s">
        <v>25</v>
      </c>
      <c r="J1459" t="s">
        <v>33</v>
      </c>
      <c r="K1459" t="s">
        <v>12</v>
      </c>
    </row>
    <row r="1460" spans="1:11" x14ac:dyDescent="0.25">
      <c r="A1460" t="s">
        <v>1369</v>
      </c>
      <c r="B1460" t="s">
        <v>319</v>
      </c>
      <c r="C1460" t="s">
        <v>1370</v>
      </c>
      <c r="D1460">
        <v>744625067</v>
      </c>
      <c r="E1460" t="s">
        <v>9</v>
      </c>
      <c r="F1460" s="1">
        <v>45831</v>
      </c>
      <c r="G1460" t="s">
        <v>423</v>
      </c>
      <c r="H1460" s="2">
        <v>485.04</v>
      </c>
      <c r="I1460" t="s">
        <v>25</v>
      </c>
      <c r="J1460" t="s">
        <v>22</v>
      </c>
      <c r="K1460" t="s">
        <v>16</v>
      </c>
    </row>
    <row r="1461" spans="1:11" x14ac:dyDescent="0.25">
      <c r="A1461" t="s">
        <v>1367</v>
      </c>
      <c r="B1461" t="s">
        <v>394</v>
      </c>
      <c r="C1461" t="s">
        <v>1368</v>
      </c>
      <c r="D1461">
        <v>731576543</v>
      </c>
      <c r="E1461" t="s">
        <v>9</v>
      </c>
      <c r="F1461" s="1">
        <v>45426</v>
      </c>
      <c r="G1461" t="s">
        <v>32</v>
      </c>
      <c r="H1461" s="2">
        <v>593.37</v>
      </c>
      <c r="I1461" t="s">
        <v>25</v>
      </c>
      <c r="J1461" t="s">
        <v>22</v>
      </c>
      <c r="K1461" t="s">
        <v>16</v>
      </c>
    </row>
    <row r="1462" spans="1:11" x14ac:dyDescent="0.25">
      <c r="A1462" t="s">
        <v>527</v>
      </c>
      <c r="B1462" t="s">
        <v>69</v>
      </c>
      <c r="C1462" t="s">
        <v>528</v>
      </c>
      <c r="D1462">
        <v>737972549</v>
      </c>
      <c r="E1462" t="s">
        <v>18</v>
      </c>
      <c r="F1462" s="1">
        <v>45469</v>
      </c>
      <c r="G1462" t="s">
        <v>35</v>
      </c>
      <c r="H1462" s="2">
        <v>650.22</v>
      </c>
      <c r="I1462" t="s">
        <v>25</v>
      </c>
      <c r="J1462" t="s">
        <v>36</v>
      </c>
      <c r="K1462" t="s">
        <v>12</v>
      </c>
    </row>
    <row r="1463" spans="1:11" x14ac:dyDescent="0.25">
      <c r="A1463" t="s">
        <v>745</v>
      </c>
      <c r="B1463" t="s">
        <v>289</v>
      </c>
      <c r="C1463" t="s">
        <v>746</v>
      </c>
      <c r="D1463">
        <v>719129176</v>
      </c>
      <c r="E1463" t="s">
        <v>18</v>
      </c>
      <c r="F1463" s="1">
        <v>45837</v>
      </c>
      <c r="G1463" t="s">
        <v>21</v>
      </c>
      <c r="H1463" s="2">
        <v>1415.54</v>
      </c>
      <c r="I1463" t="s">
        <v>25</v>
      </c>
      <c r="J1463" t="s">
        <v>36</v>
      </c>
      <c r="K1463" t="s">
        <v>12</v>
      </c>
    </row>
    <row r="1464" spans="1:11" x14ac:dyDescent="0.25">
      <c r="A1464" t="s">
        <v>1070</v>
      </c>
      <c r="B1464" t="s">
        <v>383</v>
      </c>
      <c r="C1464" t="s">
        <v>1071</v>
      </c>
      <c r="D1464">
        <v>746264285</v>
      </c>
      <c r="E1464" t="s">
        <v>9</v>
      </c>
      <c r="F1464" s="1">
        <v>45258</v>
      </c>
      <c r="G1464" t="s">
        <v>47</v>
      </c>
      <c r="H1464" s="2">
        <v>1325.44</v>
      </c>
      <c r="I1464" t="s">
        <v>25</v>
      </c>
      <c r="J1464" t="s">
        <v>22</v>
      </c>
      <c r="K1464" t="s">
        <v>12</v>
      </c>
    </row>
    <row r="1465" spans="1:11" x14ac:dyDescent="0.25">
      <c r="A1465" t="s">
        <v>939</v>
      </c>
      <c r="B1465" t="s">
        <v>149</v>
      </c>
      <c r="C1465" t="s">
        <v>940</v>
      </c>
      <c r="D1465">
        <v>712646789</v>
      </c>
      <c r="E1465" t="s">
        <v>9</v>
      </c>
      <c r="F1465" s="1">
        <v>45756</v>
      </c>
      <c r="G1465" t="s">
        <v>518</v>
      </c>
      <c r="H1465" s="2">
        <v>1388.71</v>
      </c>
      <c r="I1465" t="s">
        <v>25</v>
      </c>
      <c r="J1465" t="s">
        <v>22</v>
      </c>
      <c r="K1465" t="s">
        <v>12</v>
      </c>
    </row>
    <row r="1466" spans="1:11" x14ac:dyDescent="0.25">
      <c r="A1466" t="s">
        <v>1490</v>
      </c>
      <c r="B1466" t="s">
        <v>51</v>
      </c>
      <c r="C1466" t="s">
        <v>1491</v>
      </c>
      <c r="D1466">
        <v>743295032</v>
      </c>
      <c r="E1466" t="s">
        <v>9</v>
      </c>
      <c r="F1466" s="1">
        <v>45299</v>
      </c>
      <c r="G1466" t="s">
        <v>478</v>
      </c>
      <c r="H1466" s="2">
        <v>1206.4000000000001</v>
      </c>
      <c r="I1466" t="s">
        <v>444</v>
      </c>
      <c r="J1466" t="s">
        <v>22</v>
      </c>
      <c r="K1466" t="s">
        <v>12</v>
      </c>
    </row>
    <row r="1467" spans="1:11" x14ac:dyDescent="0.25">
      <c r="A1467" t="s">
        <v>597</v>
      </c>
      <c r="B1467" t="s">
        <v>171</v>
      </c>
      <c r="C1467" t="s">
        <v>598</v>
      </c>
      <c r="D1467">
        <v>733027275</v>
      </c>
      <c r="E1467" t="s">
        <v>18</v>
      </c>
      <c r="F1467" s="1">
        <v>45818</v>
      </c>
      <c r="G1467" t="s">
        <v>19</v>
      </c>
      <c r="H1467" s="2">
        <v>353.42</v>
      </c>
      <c r="I1467" t="s">
        <v>507</v>
      </c>
      <c r="J1467" t="s">
        <v>11</v>
      </c>
      <c r="K1467" t="s">
        <v>12</v>
      </c>
    </row>
    <row r="1468" spans="1:11" x14ac:dyDescent="0.25">
      <c r="A1468" t="s">
        <v>1139</v>
      </c>
      <c r="B1468" t="s">
        <v>217</v>
      </c>
      <c r="C1468" t="s">
        <v>1140</v>
      </c>
      <c r="D1468">
        <v>646689911</v>
      </c>
      <c r="E1468" t="s">
        <v>9</v>
      </c>
      <c r="F1468" s="1">
        <v>45385</v>
      </c>
      <c r="G1468" t="s">
        <v>10</v>
      </c>
      <c r="H1468" s="2">
        <v>614.87</v>
      </c>
      <c r="I1468" t="s">
        <v>25</v>
      </c>
      <c r="J1468" t="s">
        <v>22</v>
      </c>
      <c r="K1468" t="s">
        <v>16</v>
      </c>
    </row>
    <row r="1469" spans="1:11" x14ac:dyDescent="0.25">
      <c r="A1469" t="s">
        <v>637</v>
      </c>
      <c r="B1469" t="s">
        <v>176</v>
      </c>
      <c r="C1469" t="s">
        <v>638</v>
      </c>
      <c r="D1469">
        <v>721361791</v>
      </c>
      <c r="E1469" t="s">
        <v>9</v>
      </c>
      <c r="F1469" s="1">
        <v>45901</v>
      </c>
      <c r="G1469" t="s">
        <v>440</v>
      </c>
      <c r="H1469" s="2">
        <v>1766.28</v>
      </c>
      <c r="I1469" t="s">
        <v>25</v>
      </c>
      <c r="J1469" t="s">
        <v>22</v>
      </c>
      <c r="K1469" t="s">
        <v>12</v>
      </c>
    </row>
    <row r="1470" spans="1:11" x14ac:dyDescent="0.25">
      <c r="A1470" t="s">
        <v>601</v>
      </c>
      <c r="B1470" t="s">
        <v>339</v>
      </c>
      <c r="C1470" t="s">
        <v>602</v>
      </c>
      <c r="D1470">
        <v>825868533</v>
      </c>
      <c r="E1470" t="s">
        <v>18</v>
      </c>
      <c r="F1470" s="1">
        <v>45506</v>
      </c>
      <c r="G1470" t="s">
        <v>603</v>
      </c>
      <c r="H1470" s="2">
        <v>882.92</v>
      </c>
      <c r="I1470" t="s">
        <v>25</v>
      </c>
      <c r="J1470" t="s">
        <v>11</v>
      </c>
      <c r="K1470" t="s">
        <v>12</v>
      </c>
    </row>
    <row r="1471" spans="1:11" x14ac:dyDescent="0.25">
      <c r="A1471" t="s">
        <v>664</v>
      </c>
      <c r="B1471" t="s">
        <v>80</v>
      </c>
      <c r="C1471" t="s">
        <v>665</v>
      </c>
      <c r="D1471">
        <v>622023254</v>
      </c>
      <c r="E1471" t="s">
        <v>9</v>
      </c>
      <c r="F1471" s="1">
        <v>45707</v>
      </c>
      <c r="G1471" t="s">
        <v>32</v>
      </c>
      <c r="H1471" s="2">
        <v>915.73</v>
      </c>
      <c r="I1471" t="s">
        <v>25</v>
      </c>
      <c r="J1471" t="s">
        <v>22</v>
      </c>
      <c r="K1471" t="s">
        <v>12</v>
      </c>
    </row>
    <row r="1472" spans="1:11" x14ac:dyDescent="0.25">
      <c r="A1472" t="s">
        <v>639</v>
      </c>
      <c r="B1472" t="s">
        <v>259</v>
      </c>
      <c r="C1472" t="s">
        <v>640</v>
      </c>
      <c r="D1472">
        <v>930065477</v>
      </c>
      <c r="E1472" t="s">
        <v>9</v>
      </c>
      <c r="F1472" s="1">
        <v>45729</v>
      </c>
      <c r="G1472" t="s">
        <v>35</v>
      </c>
      <c r="H1472" s="2">
        <v>1288.25</v>
      </c>
      <c r="I1472" t="s">
        <v>25</v>
      </c>
      <c r="J1472" t="s">
        <v>22</v>
      </c>
      <c r="K1472" t="s">
        <v>12</v>
      </c>
    </row>
    <row r="1473" spans="1:11" x14ac:dyDescent="0.25">
      <c r="A1473" t="s">
        <v>1428</v>
      </c>
      <c r="B1473" t="s">
        <v>407</v>
      </c>
      <c r="C1473" t="s">
        <v>1429</v>
      </c>
      <c r="D1473">
        <v>983839916</v>
      </c>
      <c r="E1473" t="s">
        <v>18</v>
      </c>
      <c r="F1473" s="1">
        <v>45350</v>
      </c>
      <c r="G1473" t="s">
        <v>24</v>
      </c>
      <c r="H1473" s="2">
        <v>1183.67</v>
      </c>
      <c r="I1473" t="s">
        <v>25</v>
      </c>
      <c r="J1473" t="s">
        <v>11</v>
      </c>
      <c r="K1473" t="s">
        <v>16</v>
      </c>
    </row>
    <row r="1474" spans="1:11" x14ac:dyDescent="0.25">
      <c r="A1474" t="s">
        <v>1436</v>
      </c>
      <c r="B1474" t="s">
        <v>103</v>
      </c>
      <c r="C1474" t="s">
        <v>1437</v>
      </c>
      <c r="D1474">
        <v>725166782</v>
      </c>
      <c r="E1474" t="s">
        <v>9</v>
      </c>
      <c r="F1474" s="1">
        <v>45877</v>
      </c>
      <c r="G1474" t="s">
        <v>47</v>
      </c>
      <c r="H1474" s="2">
        <v>1584.88</v>
      </c>
      <c r="I1474" t="s">
        <v>25</v>
      </c>
      <c r="J1474" t="s">
        <v>36</v>
      </c>
      <c r="K1474" t="s">
        <v>16</v>
      </c>
    </row>
    <row r="1475" spans="1:11" x14ac:dyDescent="0.25">
      <c r="A1475" t="s">
        <v>1299</v>
      </c>
      <c r="B1475" t="s">
        <v>193</v>
      </c>
      <c r="C1475" t="s">
        <v>1300</v>
      </c>
      <c r="D1475">
        <v>736322863</v>
      </c>
      <c r="E1475" t="s">
        <v>18</v>
      </c>
      <c r="F1475" s="1">
        <v>45264</v>
      </c>
      <c r="G1475" t="s">
        <v>47</v>
      </c>
      <c r="H1475" s="2">
        <v>1683.68</v>
      </c>
      <c r="I1475" t="s">
        <v>25</v>
      </c>
      <c r="J1475" t="s">
        <v>11</v>
      </c>
      <c r="K1475" t="s">
        <v>12</v>
      </c>
    </row>
    <row r="1476" spans="1:11" x14ac:dyDescent="0.25">
      <c r="A1476" t="s">
        <v>947</v>
      </c>
      <c r="B1476" t="s">
        <v>144</v>
      </c>
      <c r="C1476" t="s">
        <v>948</v>
      </c>
      <c r="D1476">
        <v>933910652</v>
      </c>
      <c r="E1476" t="s">
        <v>18</v>
      </c>
      <c r="F1476" s="1">
        <v>45871</v>
      </c>
      <c r="G1476" t="s">
        <v>440</v>
      </c>
      <c r="H1476" s="2">
        <v>74.209999999999994</v>
      </c>
      <c r="I1476" t="s">
        <v>507</v>
      </c>
      <c r="J1476" t="s">
        <v>11</v>
      </c>
      <c r="K1476" t="s">
        <v>12</v>
      </c>
    </row>
    <row r="1477" spans="1:11" x14ac:dyDescent="0.25">
      <c r="A1477" t="s">
        <v>649</v>
      </c>
      <c r="B1477" t="s">
        <v>23</v>
      </c>
      <c r="C1477" t="s">
        <v>650</v>
      </c>
      <c r="D1477">
        <v>681942999</v>
      </c>
      <c r="E1477" t="s">
        <v>9</v>
      </c>
      <c r="F1477" s="1">
        <v>45683</v>
      </c>
      <c r="G1477" t="s">
        <v>10</v>
      </c>
      <c r="H1477" s="2">
        <v>1320.33</v>
      </c>
      <c r="I1477" t="s">
        <v>25</v>
      </c>
      <c r="J1477" t="s">
        <v>15</v>
      </c>
      <c r="K1477" t="s">
        <v>12</v>
      </c>
    </row>
    <row r="1478" spans="1:11" x14ac:dyDescent="0.25">
      <c r="A1478" t="s">
        <v>818</v>
      </c>
      <c r="B1478" t="s">
        <v>322</v>
      </c>
      <c r="C1478" t="s">
        <v>819</v>
      </c>
      <c r="D1478">
        <v>745740326</v>
      </c>
      <c r="E1478" t="s">
        <v>13</v>
      </c>
      <c r="F1478" s="1">
        <v>45432</v>
      </c>
      <c r="G1478" t="s">
        <v>460</v>
      </c>
      <c r="H1478" s="2">
        <v>870.47</v>
      </c>
      <c r="I1478" t="s">
        <v>25</v>
      </c>
      <c r="J1478" t="s">
        <v>33</v>
      </c>
      <c r="K1478" t="s">
        <v>16</v>
      </c>
    </row>
    <row r="1479" spans="1:11" x14ac:dyDescent="0.25">
      <c r="A1479" t="s">
        <v>1492</v>
      </c>
      <c r="B1479" t="s">
        <v>393</v>
      </c>
      <c r="C1479" t="s">
        <v>1493</v>
      </c>
      <c r="D1479">
        <v>729040661</v>
      </c>
      <c r="E1479" t="s">
        <v>9</v>
      </c>
      <c r="F1479" s="1">
        <v>45334</v>
      </c>
      <c r="G1479" t="s">
        <v>14</v>
      </c>
      <c r="H1479" s="2">
        <v>1670.35</v>
      </c>
      <c r="I1479" t="s">
        <v>25</v>
      </c>
      <c r="J1479" t="s">
        <v>22</v>
      </c>
      <c r="K1479" t="s">
        <v>12</v>
      </c>
    </row>
    <row r="1480" spans="1:11" x14ac:dyDescent="0.25">
      <c r="A1480" t="s">
        <v>998</v>
      </c>
      <c r="B1480" t="s">
        <v>319</v>
      </c>
      <c r="C1480" t="s">
        <v>999</v>
      </c>
      <c r="D1480">
        <v>734368160</v>
      </c>
      <c r="E1480" t="s">
        <v>9</v>
      </c>
      <c r="F1480" s="1">
        <v>45710</v>
      </c>
      <c r="G1480" t="s">
        <v>10</v>
      </c>
      <c r="H1480" s="2">
        <v>122.64</v>
      </c>
      <c r="I1480" t="s">
        <v>25</v>
      </c>
      <c r="J1480" t="s">
        <v>11</v>
      </c>
      <c r="K1480" t="s">
        <v>16</v>
      </c>
    </row>
    <row r="1481" spans="1:11" x14ac:dyDescent="0.25">
      <c r="A1481" t="s">
        <v>830</v>
      </c>
      <c r="B1481" t="s">
        <v>831</v>
      </c>
      <c r="C1481" t="s">
        <v>832</v>
      </c>
      <c r="D1481">
        <v>731359620</v>
      </c>
      <c r="E1481" t="s">
        <v>18</v>
      </c>
      <c r="F1481" s="1">
        <v>45823</v>
      </c>
      <c r="G1481" t="s">
        <v>443</v>
      </c>
      <c r="H1481" s="2">
        <v>1307.96</v>
      </c>
      <c r="I1481" t="s">
        <v>25</v>
      </c>
      <c r="J1481" t="s">
        <v>11</v>
      </c>
      <c r="K1481" t="s">
        <v>16</v>
      </c>
    </row>
    <row r="1482" spans="1:11" x14ac:dyDescent="0.25">
      <c r="A1482" t="s">
        <v>790</v>
      </c>
      <c r="B1482" t="s">
        <v>153</v>
      </c>
      <c r="C1482" t="s">
        <v>791</v>
      </c>
      <c r="D1482">
        <v>705676062</v>
      </c>
      <c r="E1482" t="s">
        <v>18</v>
      </c>
      <c r="F1482" s="1">
        <v>45512</v>
      </c>
      <c r="G1482" t="s">
        <v>19</v>
      </c>
      <c r="H1482" s="2">
        <v>1662.24</v>
      </c>
      <c r="I1482" t="s">
        <v>25</v>
      </c>
      <c r="J1482" t="s">
        <v>33</v>
      </c>
      <c r="K1482" t="s">
        <v>12</v>
      </c>
    </row>
    <row r="1483" spans="1:11" x14ac:dyDescent="0.25">
      <c r="A1483" t="s">
        <v>1211</v>
      </c>
      <c r="B1483" t="s">
        <v>92</v>
      </c>
      <c r="C1483" t="s">
        <v>1212</v>
      </c>
      <c r="D1483">
        <v>728952399</v>
      </c>
      <c r="E1483" t="s">
        <v>9</v>
      </c>
      <c r="F1483" s="1">
        <v>45485</v>
      </c>
      <c r="G1483" t="s">
        <v>10</v>
      </c>
      <c r="H1483" s="2">
        <v>1988.7</v>
      </c>
      <c r="I1483" t="s">
        <v>25</v>
      </c>
      <c r="J1483" t="s">
        <v>33</v>
      </c>
      <c r="K1483" t="s">
        <v>12</v>
      </c>
    </row>
    <row r="1484" spans="1:11" x14ac:dyDescent="0.25">
      <c r="A1484" t="s">
        <v>1418</v>
      </c>
      <c r="B1484" t="s">
        <v>253</v>
      </c>
      <c r="C1484" t="s">
        <v>1419</v>
      </c>
      <c r="D1484">
        <v>925202711</v>
      </c>
      <c r="E1484" t="s">
        <v>18</v>
      </c>
      <c r="F1484" s="1">
        <v>45610</v>
      </c>
      <c r="G1484" t="s">
        <v>39</v>
      </c>
      <c r="H1484" s="2">
        <v>316.29000000000002</v>
      </c>
      <c r="I1484" t="s">
        <v>444</v>
      </c>
      <c r="J1484" t="s">
        <v>36</v>
      </c>
      <c r="K1484" t="s">
        <v>16</v>
      </c>
    </row>
    <row r="1485" spans="1:11" x14ac:dyDescent="0.25">
      <c r="A1485" t="s">
        <v>1305</v>
      </c>
      <c r="B1485" t="s">
        <v>294</v>
      </c>
      <c r="C1485" t="s">
        <v>1306</v>
      </c>
      <c r="D1485">
        <v>682290273</v>
      </c>
      <c r="E1485" t="s">
        <v>18</v>
      </c>
      <c r="F1485" s="1">
        <v>45866</v>
      </c>
      <c r="G1485" t="s">
        <v>10</v>
      </c>
      <c r="H1485" s="2">
        <v>921.86</v>
      </c>
      <c r="I1485" t="s">
        <v>507</v>
      </c>
      <c r="J1485" t="s">
        <v>36</v>
      </c>
      <c r="K1485" t="s">
        <v>16</v>
      </c>
    </row>
    <row r="1486" spans="1:11" x14ac:dyDescent="0.25">
      <c r="A1486" t="s">
        <v>1494</v>
      </c>
      <c r="B1486" t="s">
        <v>139</v>
      </c>
      <c r="C1486" t="s">
        <v>1495</v>
      </c>
      <c r="D1486">
        <v>718841855</v>
      </c>
      <c r="E1486" t="s">
        <v>18</v>
      </c>
      <c r="F1486" s="1">
        <v>45536</v>
      </c>
      <c r="G1486" t="s">
        <v>10</v>
      </c>
      <c r="H1486" s="2">
        <v>1917.47</v>
      </c>
      <c r="I1486" t="s">
        <v>25</v>
      </c>
      <c r="J1486" t="s">
        <v>11</v>
      </c>
      <c r="K1486" t="s">
        <v>12</v>
      </c>
    </row>
    <row r="1487" spans="1:11" x14ac:dyDescent="0.25">
      <c r="A1487" t="s">
        <v>669</v>
      </c>
      <c r="B1487" t="s">
        <v>95</v>
      </c>
      <c r="C1487" t="s">
        <v>670</v>
      </c>
      <c r="D1487">
        <v>749984420</v>
      </c>
      <c r="E1487" t="s">
        <v>9</v>
      </c>
      <c r="F1487" s="1">
        <v>45737</v>
      </c>
      <c r="G1487" t="s">
        <v>518</v>
      </c>
      <c r="H1487" s="2">
        <v>984.32</v>
      </c>
      <c r="I1487" t="s">
        <v>25</v>
      </c>
      <c r="J1487" t="s">
        <v>33</v>
      </c>
      <c r="K1487" t="s">
        <v>12</v>
      </c>
    </row>
    <row r="1488" spans="1:11" x14ac:dyDescent="0.25">
      <c r="A1488" t="s">
        <v>1166</v>
      </c>
      <c r="B1488" t="s">
        <v>121</v>
      </c>
      <c r="C1488" t="s">
        <v>1167</v>
      </c>
      <c r="D1488">
        <v>701616066</v>
      </c>
      <c r="E1488" t="s">
        <v>9</v>
      </c>
      <c r="F1488" s="1">
        <v>45274</v>
      </c>
      <c r="G1488" t="s">
        <v>506</v>
      </c>
      <c r="H1488" s="2">
        <v>122.08</v>
      </c>
      <c r="I1488" t="s">
        <v>444</v>
      </c>
      <c r="J1488" t="s">
        <v>11</v>
      </c>
      <c r="K1488" t="s">
        <v>12</v>
      </c>
    </row>
    <row r="1489" spans="1:11" x14ac:dyDescent="0.25">
      <c r="A1489" t="s">
        <v>1292</v>
      </c>
      <c r="B1489" t="s">
        <v>1293</v>
      </c>
      <c r="C1489" t="s">
        <v>1294</v>
      </c>
      <c r="D1489">
        <v>660996978</v>
      </c>
      <c r="E1489" t="s">
        <v>18</v>
      </c>
      <c r="F1489" s="1">
        <v>45589</v>
      </c>
      <c r="G1489" t="s">
        <v>14</v>
      </c>
      <c r="H1489" s="2">
        <v>380.82</v>
      </c>
      <c r="I1489" t="s">
        <v>25</v>
      </c>
      <c r="J1489" t="s">
        <v>11</v>
      </c>
      <c r="K1489" t="s">
        <v>12</v>
      </c>
    </row>
    <row r="1490" spans="1:11" x14ac:dyDescent="0.25">
      <c r="A1490" t="s">
        <v>1066</v>
      </c>
      <c r="B1490" t="s">
        <v>164</v>
      </c>
      <c r="C1490" t="s">
        <v>1067</v>
      </c>
      <c r="D1490">
        <v>722204395</v>
      </c>
      <c r="E1490" t="s">
        <v>9</v>
      </c>
      <c r="F1490" s="1">
        <v>45563</v>
      </c>
      <c r="G1490" t="s">
        <v>475</v>
      </c>
      <c r="H1490" s="2">
        <v>476.09</v>
      </c>
      <c r="I1490" t="s">
        <v>444</v>
      </c>
      <c r="J1490" t="s">
        <v>36</v>
      </c>
      <c r="K1490" t="s">
        <v>16</v>
      </c>
    </row>
    <row r="1491" spans="1:11" x14ac:dyDescent="0.25">
      <c r="A1491" t="s">
        <v>1496</v>
      </c>
      <c r="B1491" t="s">
        <v>116</v>
      </c>
      <c r="C1491" t="s">
        <v>1497</v>
      </c>
      <c r="D1491">
        <v>700468647</v>
      </c>
      <c r="E1491" t="s">
        <v>9</v>
      </c>
      <c r="F1491" s="1">
        <v>45365</v>
      </c>
      <c r="G1491" t="s">
        <v>10</v>
      </c>
      <c r="H1491" s="2">
        <v>537.27</v>
      </c>
      <c r="I1491" t="s">
        <v>25</v>
      </c>
      <c r="J1491" t="s">
        <v>22</v>
      </c>
      <c r="K1491" t="s">
        <v>12</v>
      </c>
    </row>
    <row r="1492" spans="1:11" x14ac:dyDescent="0.25">
      <c r="A1492" t="s">
        <v>557</v>
      </c>
      <c r="B1492" t="s">
        <v>558</v>
      </c>
      <c r="C1492" t="s">
        <v>559</v>
      </c>
      <c r="D1492">
        <v>719919620</v>
      </c>
      <c r="E1492" t="s">
        <v>9</v>
      </c>
      <c r="F1492" s="1">
        <v>45619</v>
      </c>
      <c r="G1492" t="s">
        <v>478</v>
      </c>
      <c r="H1492" s="2">
        <v>1971.59</v>
      </c>
      <c r="I1492" t="s">
        <v>25</v>
      </c>
      <c r="J1492" t="s">
        <v>22</v>
      </c>
      <c r="K1492" t="s">
        <v>12</v>
      </c>
    </row>
    <row r="1493" spans="1:11" x14ac:dyDescent="0.25">
      <c r="A1493" t="s">
        <v>539</v>
      </c>
      <c r="B1493" t="s">
        <v>397</v>
      </c>
      <c r="C1493" t="s">
        <v>540</v>
      </c>
      <c r="D1493">
        <v>863311909</v>
      </c>
      <c r="E1493" t="s">
        <v>9</v>
      </c>
      <c r="F1493" s="1">
        <v>45468</v>
      </c>
      <c r="G1493" t="s">
        <v>440</v>
      </c>
      <c r="H1493" s="2">
        <v>350.3</v>
      </c>
      <c r="I1493" t="s">
        <v>25</v>
      </c>
      <c r="J1493" t="s">
        <v>22</v>
      </c>
      <c r="K1493" t="s">
        <v>16</v>
      </c>
    </row>
    <row r="1494" spans="1:11" x14ac:dyDescent="0.25">
      <c r="A1494" t="s">
        <v>1428</v>
      </c>
      <c r="B1494" t="s">
        <v>407</v>
      </c>
      <c r="C1494" t="s">
        <v>1429</v>
      </c>
      <c r="D1494">
        <v>983839916</v>
      </c>
      <c r="E1494" t="s">
        <v>18</v>
      </c>
      <c r="F1494" s="1">
        <v>45576</v>
      </c>
      <c r="G1494" t="s">
        <v>24</v>
      </c>
      <c r="H1494" s="2">
        <v>1624.46</v>
      </c>
      <c r="I1494" t="s">
        <v>25</v>
      </c>
      <c r="J1494" t="s">
        <v>26</v>
      </c>
      <c r="K1494" t="s">
        <v>16</v>
      </c>
    </row>
    <row r="1495" spans="1:11" x14ac:dyDescent="0.25">
      <c r="A1495" t="s">
        <v>687</v>
      </c>
      <c r="B1495" t="s">
        <v>398</v>
      </c>
      <c r="C1495" t="s">
        <v>688</v>
      </c>
      <c r="D1495">
        <v>712704910</v>
      </c>
      <c r="E1495" t="s">
        <v>9</v>
      </c>
      <c r="F1495" s="1">
        <v>45890</v>
      </c>
      <c r="G1495" t="s">
        <v>460</v>
      </c>
      <c r="H1495" s="2">
        <v>1801.42</v>
      </c>
      <c r="I1495" t="s">
        <v>25</v>
      </c>
      <c r="J1495" t="s">
        <v>26</v>
      </c>
      <c r="K1495" t="s">
        <v>16</v>
      </c>
    </row>
    <row r="1496" spans="1:11" x14ac:dyDescent="0.25">
      <c r="A1496" t="s">
        <v>1305</v>
      </c>
      <c r="B1496" t="s">
        <v>294</v>
      </c>
      <c r="C1496" t="s">
        <v>1306</v>
      </c>
      <c r="D1496">
        <v>682290273</v>
      </c>
      <c r="E1496" t="s">
        <v>18</v>
      </c>
      <c r="F1496" s="1">
        <v>45504</v>
      </c>
      <c r="G1496" t="s">
        <v>10</v>
      </c>
      <c r="H1496" s="2">
        <v>763.72</v>
      </c>
      <c r="I1496" t="s">
        <v>25</v>
      </c>
      <c r="J1496" t="s">
        <v>26</v>
      </c>
      <c r="K1496" t="s">
        <v>12</v>
      </c>
    </row>
    <row r="1497" spans="1:11" x14ac:dyDescent="0.25">
      <c r="A1497" t="s">
        <v>608</v>
      </c>
      <c r="B1497" t="s">
        <v>255</v>
      </c>
      <c r="C1497" t="s">
        <v>609</v>
      </c>
      <c r="D1497">
        <v>728508171</v>
      </c>
      <c r="E1497" t="s">
        <v>9</v>
      </c>
      <c r="F1497" s="1">
        <v>45402</v>
      </c>
      <c r="G1497" t="s">
        <v>10</v>
      </c>
      <c r="H1497" s="2">
        <v>220.62</v>
      </c>
      <c r="I1497" t="s">
        <v>25</v>
      </c>
      <c r="J1497" t="s">
        <v>36</v>
      </c>
      <c r="K1497" t="s">
        <v>12</v>
      </c>
    </row>
    <row r="1498" spans="1:11" x14ac:dyDescent="0.25">
      <c r="A1498" t="s">
        <v>1391</v>
      </c>
      <c r="B1498" t="s">
        <v>1392</v>
      </c>
      <c r="C1498" t="s">
        <v>1393</v>
      </c>
      <c r="D1498">
        <v>745949966</v>
      </c>
      <c r="E1498" t="s">
        <v>13</v>
      </c>
      <c r="F1498" s="1">
        <v>45413</v>
      </c>
      <c r="G1498" t="s">
        <v>21</v>
      </c>
      <c r="H1498" s="2">
        <v>1446.96</v>
      </c>
      <c r="I1498" t="s">
        <v>444</v>
      </c>
      <c r="J1498" t="s">
        <v>22</v>
      </c>
      <c r="K1498" t="s">
        <v>12</v>
      </c>
    </row>
    <row r="1499" spans="1:11" x14ac:dyDescent="0.25">
      <c r="A1499" t="s">
        <v>1137</v>
      </c>
      <c r="B1499" t="s">
        <v>37</v>
      </c>
      <c r="C1499" t="s">
        <v>1138</v>
      </c>
      <c r="D1499">
        <v>840470316</v>
      </c>
      <c r="E1499" t="s">
        <v>18</v>
      </c>
      <c r="F1499" s="1">
        <v>45438</v>
      </c>
      <c r="G1499" t="s">
        <v>412</v>
      </c>
      <c r="H1499" s="2">
        <v>1644.89</v>
      </c>
      <c r="I1499" t="s">
        <v>507</v>
      </c>
      <c r="J1499" t="s">
        <v>36</v>
      </c>
      <c r="K1499" t="s">
        <v>12</v>
      </c>
    </row>
    <row r="1500" spans="1:11" x14ac:dyDescent="0.25">
      <c r="A1500" t="s">
        <v>469</v>
      </c>
      <c r="B1500" t="s">
        <v>304</v>
      </c>
      <c r="C1500" t="s">
        <v>470</v>
      </c>
      <c r="D1500">
        <v>742924464</v>
      </c>
      <c r="E1500" t="s">
        <v>18</v>
      </c>
      <c r="F1500" s="1">
        <v>45289</v>
      </c>
      <c r="G1500" t="s">
        <v>443</v>
      </c>
      <c r="H1500" s="2">
        <v>850.64</v>
      </c>
      <c r="I1500" t="s">
        <v>25</v>
      </c>
      <c r="J1500" t="s">
        <v>11</v>
      </c>
      <c r="K1500" t="s">
        <v>16</v>
      </c>
    </row>
    <row r="1501" spans="1:11" x14ac:dyDescent="0.25">
      <c r="A1501" t="s">
        <v>677</v>
      </c>
      <c r="B1501" t="s">
        <v>161</v>
      </c>
      <c r="C1501" t="s">
        <v>678</v>
      </c>
      <c r="D1501">
        <v>911729847</v>
      </c>
      <c r="E1501" t="s">
        <v>18</v>
      </c>
      <c r="F1501" s="1">
        <v>45340</v>
      </c>
      <c r="G1501" t="s">
        <v>624</v>
      </c>
      <c r="H1501" s="2">
        <v>746.26</v>
      </c>
      <c r="I1501" t="s">
        <v>507</v>
      </c>
      <c r="J1501" t="s">
        <v>15</v>
      </c>
      <c r="K1501" t="s">
        <v>12</v>
      </c>
    </row>
    <row r="1502" spans="1:11" x14ac:dyDescent="0.25">
      <c r="A1502" t="s">
        <v>909</v>
      </c>
      <c r="B1502" t="s">
        <v>284</v>
      </c>
      <c r="C1502" t="s">
        <v>910</v>
      </c>
      <c r="D1502">
        <v>707714744</v>
      </c>
      <c r="E1502" t="s">
        <v>13</v>
      </c>
      <c r="F1502" s="1">
        <v>45183</v>
      </c>
      <c r="G1502" t="s">
        <v>451</v>
      </c>
      <c r="H1502" s="2">
        <v>1745.32</v>
      </c>
      <c r="I1502" t="s">
        <v>507</v>
      </c>
      <c r="J1502" t="s">
        <v>36</v>
      </c>
      <c r="K1502" t="s">
        <v>16</v>
      </c>
    </row>
    <row r="1503" spans="1:11" x14ac:dyDescent="0.25">
      <c r="A1503" t="s">
        <v>1377</v>
      </c>
      <c r="B1503" t="s">
        <v>56</v>
      </c>
      <c r="C1503" t="s">
        <v>1378</v>
      </c>
      <c r="D1503">
        <v>717669942</v>
      </c>
      <c r="E1503" t="s">
        <v>9</v>
      </c>
      <c r="F1503" s="1">
        <v>45355</v>
      </c>
      <c r="G1503" t="s">
        <v>24</v>
      </c>
      <c r="H1503" s="2">
        <v>1665.17</v>
      </c>
      <c r="I1503" t="s">
        <v>25</v>
      </c>
      <c r="J1503" t="s">
        <v>26</v>
      </c>
      <c r="K1503" t="s">
        <v>12</v>
      </c>
    </row>
    <row r="1504" spans="1:11" x14ac:dyDescent="0.25">
      <c r="A1504" t="s">
        <v>595</v>
      </c>
      <c r="B1504" t="s">
        <v>34</v>
      </c>
      <c r="C1504" t="s">
        <v>596</v>
      </c>
      <c r="D1504">
        <v>745956596</v>
      </c>
      <c r="E1504" t="s">
        <v>9</v>
      </c>
      <c r="F1504" s="1">
        <v>45732</v>
      </c>
      <c r="G1504" t="s">
        <v>24</v>
      </c>
      <c r="H1504" s="2">
        <v>1405.72</v>
      </c>
      <c r="I1504" t="s">
        <v>25</v>
      </c>
      <c r="J1504" t="s">
        <v>22</v>
      </c>
      <c r="K1504" t="s">
        <v>16</v>
      </c>
    </row>
    <row r="1505" spans="1:11" x14ac:dyDescent="0.25">
      <c r="A1505" t="s">
        <v>1334</v>
      </c>
      <c r="B1505" t="s">
        <v>1293</v>
      </c>
      <c r="C1505" t="s">
        <v>1335</v>
      </c>
      <c r="D1505">
        <v>990539729</v>
      </c>
      <c r="E1505" t="s">
        <v>9</v>
      </c>
      <c r="F1505" s="1">
        <v>45891</v>
      </c>
      <c r="G1505" t="s">
        <v>14</v>
      </c>
      <c r="H1505" s="2">
        <v>1992.8</v>
      </c>
      <c r="I1505" t="s">
        <v>25</v>
      </c>
      <c r="J1505" t="s">
        <v>33</v>
      </c>
      <c r="K1505" t="s">
        <v>16</v>
      </c>
    </row>
    <row r="1506" spans="1:11" x14ac:dyDescent="0.25">
      <c r="A1506" t="s">
        <v>1498</v>
      </c>
      <c r="B1506" t="s">
        <v>44</v>
      </c>
      <c r="C1506" t="s">
        <v>1499</v>
      </c>
      <c r="D1506">
        <v>745258721</v>
      </c>
      <c r="E1506" t="s">
        <v>9</v>
      </c>
      <c r="F1506" s="1">
        <v>45630</v>
      </c>
      <c r="G1506" t="s">
        <v>415</v>
      </c>
      <c r="H1506" s="2">
        <v>1661.08</v>
      </c>
      <c r="I1506" t="s">
        <v>25</v>
      </c>
      <c r="J1506" t="s">
        <v>33</v>
      </c>
      <c r="K1506" t="s">
        <v>12</v>
      </c>
    </row>
    <row r="1507" spans="1:11" x14ac:dyDescent="0.25">
      <c r="A1507" t="s">
        <v>1276</v>
      </c>
      <c r="B1507" t="s">
        <v>42</v>
      </c>
      <c r="C1507" t="s">
        <v>1277</v>
      </c>
      <c r="D1507">
        <v>746518380</v>
      </c>
      <c r="E1507" t="s">
        <v>18</v>
      </c>
      <c r="F1507" s="1">
        <v>45443</v>
      </c>
      <c r="G1507" t="s">
        <v>29</v>
      </c>
      <c r="H1507" s="2">
        <v>621.84</v>
      </c>
      <c r="I1507" t="s">
        <v>25</v>
      </c>
      <c r="J1507" t="s">
        <v>11</v>
      </c>
      <c r="K1507" t="s">
        <v>16</v>
      </c>
    </row>
    <row r="1508" spans="1:11" x14ac:dyDescent="0.25">
      <c r="A1508" t="s">
        <v>881</v>
      </c>
      <c r="B1508" t="s">
        <v>123</v>
      </c>
      <c r="C1508" t="s">
        <v>882</v>
      </c>
      <c r="D1508">
        <v>728581458</v>
      </c>
      <c r="E1508" t="s">
        <v>9</v>
      </c>
      <c r="F1508" s="1">
        <v>45837</v>
      </c>
      <c r="G1508" t="s">
        <v>35</v>
      </c>
      <c r="H1508" s="2">
        <v>582.29</v>
      </c>
      <c r="I1508" t="s">
        <v>25</v>
      </c>
      <c r="J1508" t="s">
        <v>26</v>
      </c>
      <c r="K1508" t="s">
        <v>16</v>
      </c>
    </row>
    <row r="1509" spans="1:11" x14ac:dyDescent="0.25">
      <c r="A1509" t="s">
        <v>765</v>
      </c>
      <c r="B1509" t="s">
        <v>248</v>
      </c>
      <c r="C1509" t="s">
        <v>766</v>
      </c>
      <c r="D1509">
        <v>745695976</v>
      </c>
      <c r="E1509" t="s">
        <v>9</v>
      </c>
      <c r="F1509" s="1">
        <v>45396</v>
      </c>
      <c r="G1509" t="s">
        <v>412</v>
      </c>
      <c r="H1509" s="2">
        <v>1078.21</v>
      </c>
      <c r="I1509" t="s">
        <v>507</v>
      </c>
      <c r="J1509" t="s">
        <v>26</v>
      </c>
      <c r="K1509" t="s">
        <v>16</v>
      </c>
    </row>
    <row r="1510" spans="1:11" x14ac:dyDescent="0.25">
      <c r="A1510" t="s">
        <v>551</v>
      </c>
      <c r="B1510" t="s">
        <v>333</v>
      </c>
      <c r="C1510" t="s">
        <v>552</v>
      </c>
      <c r="D1510">
        <v>907654118</v>
      </c>
      <c r="E1510" t="s">
        <v>9</v>
      </c>
      <c r="F1510" s="1">
        <v>45750</v>
      </c>
      <c r="G1510" t="s">
        <v>423</v>
      </c>
      <c r="H1510" s="2">
        <v>1732.99</v>
      </c>
      <c r="I1510" t="s">
        <v>25</v>
      </c>
      <c r="J1510" t="s">
        <v>22</v>
      </c>
      <c r="K1510" t="s">
        <v>12</v>
      </c>
    </row>
    <row r="1511" spans="1:11" x14ac:dyDescent="0.25">
      <c r="A1511" t="s">
        <v>760</v>
      </c>
      <c r="B1511" t="s">
        <v>761</v>
      </c>
      <c r="C1511" t="s">
        <v>762</v>
      </c>
      <c r="D1511">
        <v>693949039</v>
      </c>
      <c r="E1511" t="s">
        <v>9</v>
      </c>
      <c r="F1511" s="1">
        <v>45275</v>
      </c>
      <c r="G1511" t="s">
        <v>47</v>
      </c>
      <c r="H1511" s="2">
        <v>520.79999999999995</v>
      </c>
      <c r="I1511" t="s">
        <v>25</v>
      </c>
      <c r="J1511" t="s">
        <v>33</v>
      </c>
      <c r="K1511" t="s">
        <v>16</v>
      </c>
    </row>
    <row r="1512" spans="1:11" x14ac:dyDescent="0.25">
      <c r="A1512" t="s">
        <v>919</v>
      </c>
      <c r="B1512" t="s">
        <v>338</v>
      </c>
      <c r="C1512" t="s">
        <v>920</v>
      </c>
      <c r="D1512">
        <v>650924818</v>
      </c>
      <c r="E1512" t="s">
        <v>18</v>
      </c>
      <c r="F1512" s="1">
        <v>45582</v>
      </c>
      <c r="G1512" t="s">
        <v>19</v>
      </c>
      <c r="H1512" s="2">
        <v>1240.3</v>
      </c>
      <c r="I1512" t="s">
        <v>25</v>
      </c>
      <c r="J1512" t="s">
        <v>11</v>
      </c>
      <c r="K1512" t="s">
        <v>16</v>
      </c>
    </row>
    <row r="1513" spans="1:11" x14ac:dyDescent="0.25">
      <c r="A1513" t="s">
        <v>541</v>
      </c>
      <c r="B1513" t="s">
        <v>370</v>
      </c>
      <c r="C1513" t="s">
        <v>542</v>
      </c>
      <c r="D1513">
        <v>705986638</v>
      </c>
      <c r="E1513" t="s">
        <v>9</v>
      </c>
      <c r="F1513" s="1">
        <v>45418</v>
      </c>
      <c r="G1513" t="s">
        <v>47</v>
      </c>
      <c r="H1513" s="2">
        <v>958.94</v>
      </c>
      <c r="I1513" t="s">
        <v>444</v>
      </c>
      <c r="J1513" t="s">
        <v>11</v>
      </c>
      <c r="K1513" t="s">
        <v>16</v>
      </c>
    </row>
    <row r="1514" spans="1:11" x14ac:dyDescent="0.25">
      <c r="A1514" t="s">
        <v>557</v>
      </c>
      <c r="B1514" t="s">
        <v>558</v>
      </c>
      <c r="C1514" t="s">
        <v>559</v>
      </c>
      <c r="D1514">
        <v>719919620</v>
      </c>
      <c r="E1514" t="s">
        <v>9</v>
      </c>
      <c r="F1514" s="1">
        <v>45797</v>
      </c>
      <c r="G1514" t="s">
        <v>478</v>
      </c>
      <c r="H1514" s="2">
        <v>11.32</v>
      </c>
      <c r="I1514" t="s">
        <v>25</v>
      </c>
      <c r="J1514" t="s">
        <v>11</v>
      </c>
      <c r="K1514" t="s">
        <v>12</v>
      </c>
    </row>
    <row r="1515" spans="1:11" x14ac:dyDescent="0.25">
      <c r="A1515" t="s">
        <v>1002</v>
      </c>
      <c r="B1515" t="s">
        <v>587</v>
      </c>
      <c r="C1515" t="s">
        <v>1003</v>
      </c>
      <c r="D1515">
        <v>707111139</v>
      </c>
      <c r="E1515" t="s">
        <v>9</v>
      </c>
      <c r="F1515" s="1">
        <v>45234</v>
      </c>
      <c r="G1515" t="s">
        <v>475</v>
      </c>
      <c r="H1515" s="2">
        <v>1562.19</v>
      </c>
      <c r="I1515" t="s">
        <v>25</v>
      </c>
      <c r="J1515" t="s">
        <v>33</v>
      </c>
      <c r="K1515" t="s">
        <v>16</v>
      </c>
    </row>
    <row r="1516" spans="1:11" x14ac:dyDescent="0.25">
      <c r="A1516" t="s">
        <v>539</v>
      </c>
      <c r="B1516" t="s">
        <v>397</v>
      </c>
      <c r="C1516" t="s">
        <v>540</v>
      </c>
      <c r="D1516">
        <v>863311909</v>
      </c>
      <c r="E1516" t="s">
        <v>9</v>
      </c>
      <c r="F1516" s="1">
        <v>45719</v>
      </c>
      <c r="G1516" t="s">
        <v>440</v>
      </c>
      <c r="H1516" s="2">
        <v>1017.47</v>
      </c>
      <c r="I1516" t="s">
        <v>25</v>
      </c>
      <c r="J1516" t="s">
        <v>11</v>
      </c>
      <c r="K1516" t="s">
        <v>16</v>
      </c>
    </row>
    <row r="1517" spans="1:11" x14ac:dyDescent="0.25">
      <c r="A1517" t="s">
        <v>1066</v>
      </c>
      <c r="B1517" t="s">
        <v>164</v>
      </c>
      <c r="C1517" t="s">
        <v>1067</v>
      </c>
      <c r="D1517">
        <v>722204395</v>
      </c>
      <c r="E1517" t="s">
        <v>9</v>
      </c>
      <c r="F1517" s="1">
        <v>45685</v>
      </c>
      <c r="G1517" t="s">
        <v>475</v>
      </c>
      <c r="H1517" s="2">
        <v>819.65</v>
      </c>
      <c r="I1517" t="s">
        <v>444</v>
      </c>
      <c r="J1517" t="s">
        <v>36</v>
      </c>
      <c r="K1517" t="s">
        <v>12</v>
      </c>
    </row>
    <row r="1518" spans="1:11" x14ac:dyDescent="0.25">
      <c r="A1518" t="s">
        <v>1331</v>
      </c>
      <c r="B1518" t="s">
        <v>1332</v>
      </c>
      <c r="C1518" t="s">
        <v>1333</v>
      </c>
      <c r="D1518">
        <v>713494387</v>
      </c>
      <c r="E1518" t="s">
        <v>9</v>
      </c>
      <c r="F1518" s="1">
        <v>45433</v>
      </c>
      <c r="G1518" t="s">
        <v>415</v>
      </c>
      <c r="H1518" s="2">
        <v>395.37</v>
      </c>
      <c r="I1518" t="s">
        <v>25</v>
      </c>
      <c r="J1518" t="s">
        <v>11</v>
      </c>
      <c r="K1518" t="s">
        <v>12</v>
      </c>
    </row>
    <row r="1519" spans="1:11" x14ac:dyDescent="0.25">
      <c r="A1519" t="s">
        <v>921</v>
      </c>
      <c r="B1519" t="s">
        <v>922</v>
      </c>
      <c r="C1519" t="s">
        <v>923</v>
      </c>
      <c r="D1519">
        <v>722992018</v>
      </c>
      <c r="E1519" t="s">
        <v>9</v>
      </c>
      <c r="F1519" s="1">
        <v>45620</v>
      </c>
      <c r="G1519" t="s">
        <v>460</v>
      </c>
      <c r="H1519" s="2">
        <v>159.94999999999999</v>
      </c>
      <c r="I1519" t="s">
        <v>25</v>
      </c>
      <c r="J1519" t="s">
        <v>11</v>
      </c>
      <c r="K1519" t="s">
        <v>16</v>
      </c>
    </row>
    <row r="1520" spans="1:11" x14ac:dyDescent="0.25">
      <c r="A1520" t="s">
        <v>519</v>
      </c>
      <c r="B1520" t="s">
        <v>119</v>
      </c>
      <c r="C1520" t="s">
        <v>520</v>
      </c>
      <c r="D1520">
        <v>706921192</v>
      </c>
      <c r="E1520" t="s">
        <v>13</v>
      </c>
      <c r="F1520" s="1">
        <v>45542</v>
      </c>
      <c r="G1520" t="s">
        <v>24</v>
      </c>
      <c r="H1520" s="2">
        <v>1388.76</v>
      </c>
      <c r="I1520" t="s">
        <v>25</v>
      </c>
      <c r="J1520" t="s">
        <v>36</v>
      </c>
      <c r="K1520" t="s">
        <v>16</v>
      </c>
    </row>
    <row r="1521" spans="1:11" x14ac:dyDescent="0.25">
      <c r="A1521" t="s">
        <v>804</v>
      </c>
      <c r="B1521" t="s">
        <v>45</v>
      </c>
      <c r="C1521" t="s">
        <v>805</v>
      </c>
      <c r="D1521">
        <v>716908291</v>
      </c>
      <c r="E1521" t="s">
        <v>9</v>
      </c>
      <c r="F1521" s="1">
        <v>45267</v>
      </c>
      <c r="G1521" t="s">
        <v>451</v>
      </c>
      <c r="H1521" s="2">
        <v>199.77</v>
      </c>
      <c r="I1521" t="s">
        <v>25</v>
      </c>
      <c r="J1521" t="s">
        <v>33</v>
      </c>
      <c r="K1521" t="s">
        <v>16</v>
      </c>
    </row>
    <row r="1522" spans="1:11" x14ac:dyDescent="0.25">
      <c r="A1522" t="s">
        <v>1092</v>
      </c>
      <c r="B1522" t="s">
        <v>390</v>
      </c>
      <c r="C1522" t="s">
        <v>1093</v>
      </c>
      <c r="D1522">
        <v>713652480</v>
      </c>
      <c r="E1522" t="s">
        <v>13</v>
      </c>
      <c r="F1522" s="1">
        <v>45690</v>
      </c>
      <c r="G1522" t="s">
        <v>478</v>
      </c>
      <c r="H1522" s="2">
        <v>1362.49</v>
      </c>
      <c r="I1522" t="s">
        <v>25</v>
      </c>
      <c r="J1522" t="s">
        <v>22</v>
      </c>
      <c r="K1522" t="s">
        <v>12</v>
      </c>
    </row>
    <row r="1523" spans="1:11" x14ac:dyDescent="0.25">
      <c r="A1523" t="s">
        <v>741</v>
      </c>
      <c r="B1523" t="s">
        <v>99</v>
      </c>
      <c r="C1523" t="s">
        <v>742</v>
      </c>
      <c r="D1523">
        <v>958161330</v>
      </c>
      <c r="E1523" t="s">
        <v>13</v>
      </c>
      <c r="F1523" s="1">
        <v>45624</v>
      </c>
      <c r="G1523" t="s">
        <v>35</v>
      </c>
      <c r="H1523" s="2">
        <v>301.58</v>
      </c>
      <c r="I1523" t="s">
        <v>25</v>
      </c>
      <c r="J1523" t="s">
        <v>11</v>
      </c>
      <c r="K1523" t="s">
        <v>16</v>
      </c>
    </row>
    <row r="1524" spans="1:11" x14ac:dyDescent="0.25">
      <c r="A1524" t="s">
        <v>932</v>
      </c>
      <c r="B1524" t="s">
        <v>180</v>
      </c>
      <c r="C1524" t="s">
        <v>933</v>
      </c>
      <c r="D1524">
        <v>714298563</v>
      </c>
      <c r="E1524" t="s">
        <v>9</v>
      </c>
      <c r="F1524" s="1">
        <v>45711</v>
      </c>
      <c r="G1524" t="s">
        <v>506</v>
      </c>
      <c r="H1524" s="2">
        <v>721.91</v>
      </c>
      <c r="I1524" t="s">
        <v>25</v>
      </c>
      <c r="J1524" t="s">
        <v>11</v>
      </c>
      <c r="K1524" t="s">
        <v>12</v>
      </c>
    </row>
    <row r="1525" spans="1:11" x14ac:dyDescent="0.25">
      <c r="A1525" t="s">
        <v>707</v>
      </c>
      <c r="B1525" t="s">
        <v>143</v>
      </c>
      <c r="C1525" t="s">
        <v>708</v>
      </c>
      <c r="D1525">
        <v>813178789</v>
      </c>
      <c r="E1525" t="s">
        <v>18</v>
      </c>
      <c r="F1525" s="1">
        <v>45434</v>
      </c>
      <c r="G1525" t="s">
        <v>440</v>
      </c>
      <c r="H1525" s="2">
        <v>1320.51</v>
      </c>
      <c r="I1525" t="s">
        <v>25</v>
      </c>
      <c r="J1525" t="s">
        <v>11</v>
      </c>
      <c r="K1525" t="s">
        <v>16</v>
      </c>
    </row>
    <row r="1526" spans="1:11" x14ac:dyDescent="0.25">
      <c r="A1526" t="s">
        <v>1274</v>
      </c>
      <c r="B1526" t="s">
        <v>261</v>
      </c>
      <c r="C1526" t="s">
        <v>1275</v>
      </c>
      <c r="D1526">
        <v>730694210</v>
      </c>
      <c r="E1526" t="s">
        <v>18</v>
      </c>
      <c r="F1526" s="1">
        <v>45589</v>
      </c>
      <c r="G1526" t="s">
        <v>14</v>
      </c>
      <c r="H1526" s="2">
        <v>1342</v>
      </c>
      <c r="I1526" t="s">
        <v>25</v>
      </c>
      <c r="J1526" t="s">
        <v>11</v>
      </c>
      <c r="K1526" t="s">
        <v>16</v>
      </c>
    </row>
    <row r="1527" spans="1:11" x14ac:dyDescent="0.25">
      <c r="A1527" t="s">
        <v>1263</v>
      </c>
      <c r="B1527" t="s">
        <v>130</v>
      </c>
      <c r="C1527" t="s">
        <v>1264</v>
      </c>
      <c r="D1527">
        <v>737928942</v>
      </c>
      <c r="E1527" t="s">
        <v>9</v>
      </c>
      <c r="F1527" s="1">
        <v>45650</v>
      </c>
      <c r="G1527" t="s">
        <v>418</v>
      </c>
      <c r="H1527" s="2">
        <v>1686.64</v>
      </c>
      <c r="I1527" t="s">
        <v>444</v>
      </c>
      <c r="J1527" t="s">
        <v>22</v>
      </c>
      <c r="K1527" t="s">
        <v>12</v>
      </c>
    </row>
    <row r="1528" spans="1:11" x14ac:dyDescent="0.25">
      <c r="A1528" t="s">
        <v>1500</v>
      </c>
      <c r="B1528" t="s">
        <v>173</v>
      </c>
      <c r="C1528" t="s">
        <v>1501</v>
      </c>
      <c r="D1528">
        <v>856224115</v>
      </c>
      <c r="E1528" t="s">
        <v>18</v>
      </c>
      <c r="F1528" s="1">
        <v>45816</v>
      </c>
      <c r="G1528" t="s">
        <v>475</v>
      </c>
      <c r="H1528" s="2">
        <v>281.01</v>
      </c>
      <c r="I1528" t="s">
        <v>25</v>
      </c>
      <c r="J1528" t="s">
        <v>11</v>
      </c>
      <c r="K1528" t="s">
        <v>16</v>
      </c>
    </row>
    <row r="1529" spans="1:11" x14ac:dyDescent="0.25">
      <c r="A1529" t="s">
        <v>482</v>
      </c>
      <c r="B1529" t="s">
        <v>66</v>
      </c>
      <c r="C1529" t="s">
        <v>483</v>
      </c>
      <c r="D1529">
        <v>951987392</v>
      </c>
      <c r="E1529" t="s">
        <v>9</v>
      </c>
      <c r="F1529" s="1">
        <v>45640</v>
      </c>
      <c r="G1529" t="s">
        <v>440</v>
      </c>
      <c r="H1529" s="2">
        <v>1650.82</v>
      </c>
      <c r="I1529" t="s">
        <v>25</v>
      </c>
      <c r="J1529" t="s">
        <v>36</v>
      </c>
      <c r="K1529" t="s">
        <v>12</v>
      </c>
    </row>
    <row r="1530" spans="1:11" x14ac:dyDescent="0.25">
      <c r="A1530" t="s">
        <v>964</v>
      </c>
      <c r="B1530" t="s">
        <v>265</v>
      </c>
      <c r="C1530" t="s">
        <v>965</v>
      </c>
      <c r="D1530">
        <v>733394756</v>
      </c>
      <c r="E1530" t="s">
        <v>18</v>
      </c>
      <c r="F1530" s="1">
        <v>45526</v>
      </c>
      <c r="G1530" t="s">
        <v>24</v>
      </c>
      <c r="H1530" s="2">
        <v>388.16</v>
      </c>
      <c r="I1530" t="s">
        <v>25</v>
      </c>
      <c r="J1530" t="s">
        <v>11</v>
      </c>
      <c r="K1530" t="s">
        <v>12</v>
      </c>
    </row>
    <row r="1531" spans="1:11" x14ac:dyDescent="0.25">
      <c r="A1531" t="s">
        <v>717</v>
      </c>
      <c r="B1531" t="s">
        <v>208</v>
      </c>
      <c r="C1531" t="s">
        <v>718</v>
      </c>
      <c r="D1531">
        <v>723570924</v>
      </c>
      <c r="E1531" t="s">
        <v>9</v>
      </c>
      <c r="F1531" s="1">
        <v>45362</v>
      </c>
      <c r="G1531" t="s">
        <v>506</v>
      </c>
      <c r="H1531" s="2">
        <v>1605.51</v>
      </c>
      <c r="I1531" t="s">
        <v>25</v>
      </c>
      <c r="J1531" t="s">
        <v>15</v>
      </c>
      <c r="K1531" t="s">
        <v>16</v>
      </c>
    </row>
    <row r="1532" spans="1:11" x14ac:dyDescent="0.25">
      <c r="A1532" t="s">
        <v>1259</v>
      </c>
      <c r="B1532" t="s">
        <v>76</v>
      </c>
      <c r="C1532" t="s">
        <v>1260</v>
      </c>
      <c r="D1532">
        <v>942844383</v>
      </c>
      <c r="E1532" t="s">
        <v>9</v>
      </c>
      <c r="F1532" s="1">
        <v>45779</v>
      </c>
      <c r="G1532" t="s">
        <v>32</v>
      </c>
      <c r="H1532" s="2">
        <v>1126.54</v>
      </c>
      <c r="I1532" t="s">
        <v>507</v>
      </c>
      <c r="J1532" t="s">
        <v>33</v>
      </c>
      <c r="K1532" t="s">
        <v>16</v>
      </c>
    </row>
    <row r="1533" spans="1:11" x14ac:dyDescent="0.25">
      <c r="A1533" t="s">
        <v>1502</v>
      </c>
      <c r="B1533" t="s">
        <v>297</v>
      </c>
      <c r="C1533" t="s">
        <v>1503</v>
      </c>
      <c r="D1533">
        <v>741614657</v>
      </c>
      <c r="E1533" t="s">
        <v>9</v>
      </c>
      <c r="F1533" s="1">
        <v>45795</v>
      </c>
      <c r="G1533" t="s">
        <v>412</v>
      </c>
      <c r="H1533" s="2">
        <v>287.52</v>
      </c>
      <c r="I1533" t="s">
        <v>25</v>
      </c>
      <c r="J1533" t="s">
        <v>22</v>
      </c>
      <c r="K1533" t="s">
        <v>16</v>
      </c>
    </row>
    <row r="1534" spans="1:11" x14ac:dyDescent="0.25">
      <c r="A1534" t="s">
        <v>564</v>
      </c>
      <c r="B1534" t="s">
        <v>146</v>
      </c>
      <c r="C1534" t="s">
        <v>565</v>
      </c>
      <c r="D1534">
        <v>907777259</v>
      </c>
      <c r="E1534" t="s">
        <v>9</v>
      </c>
      <c r="F1534" s="1">
        <v>45437</v>
      </c>
      <c r="G1534" t="s">
        <v>10</v>
      </c>
      <c r="H1534" s="2">
        <v>1539.51</v>
      </c>
      <c r="I1534" t="s">
        <v>25</v>
      </c>
      <c r="J1534" t="s">
        <v>22</v>
      </c>
      <c r="K1534" t="s">
        <v>12</v>
      </c>
    </row>
    <row r="1535" spans="1:11" x14ac:dyDescent="0.25">
      <c r="A1535" t="s">
        <v>1504</v>
      </c>
      <c r="B1535" t="s">
        <v>303</v>
      </c>
      <c r="C1535" t="s">
        <v>1505</v>
      </c>
      <c r="D1535">
        <v>886480363</v>
      </c>
      <c r="E1535" t="s">
        <v>18</v>
      </c>
      <c r="F1535" s="1">
        <v>45378</v>
      </c>
      <c r="G1535" t="s">
        <v>423</v>
      </c>
      <c r="H1535" s="2">
        <v>926.32</v>
      </c>
      <c r="I1535" t="s">
        <v>25</v>
      </c>
      <c r="J1535" t="s">
        <v>22</v>
      </c>
      <c r="K1535" t="s">
        <v>12</v>
      </c>
    </row>
    <row r="1536" spans="1:11" x14ac:dyDescent="0.25">
      <c r="A1536" t="s">
        <v>804</v>
      </c>
      <c r="B1536" t="s">
        <v>45</v>
      </c>
      <c r="C1536" t="s">
        <v>805</v>
      </c>
      <c r="D1536">
        <v>716908291</v>
      </c>
      <c r="E1536" t="s">
        <v>9</v>
      </c>
      <c r="F1536" s="1">
        <v>45271</v>
      </c>
      <c r="G1536" t="s">
        <v>451</v>
      </c>
      <c r="H1536" s="2">
        <v>1654.61</v>
      </c>
      <c r="I1536" t="s">
        <v>25</v>
      </c>
      <c r="J1536" t="s">
        <v>33</v>
      </c>
      <c r="K1536" t="s">
        <v>12</v>
      </c>
    </row>
    <row r="1537" spans="1:11" x14ac:dyDescent="0.25">
      <c r="A1537" t="s">
        <v>1168</v>
      </c>
      <c r="B1537" t="s">
        <v>74</v>
      </c>
      <c r="C1537" t="s">
        <v>1169</v>
      </c>
      <c r="D1537">
        <v>721034679</v>
      </c>
      <c r="E1537" t="s">
        <v>9</v>
      </c>
      <c r="F1537" s="1">
        <v>45703</v>
      </c>
      <c r="G1537" t="s">
        <v>603</v>
      </c>
      <c r="H1537" s="2">
        <v>352.19</v>
      </c>
      <c r="I1537" t="s">
        <v>25</v>
      </c>
      <c r="J1537" t="s">
        <v>22</v>
      </c>
      <c r="K1537" t="s">
        <v>16</v>
      </c>
    </row>
    <row r="1538" spans="1:11" x14ac:dyDescent="0.25">
      <c r="A1538" t="s">
        <v>1145</v>
      </c>
      <c r="B1538" t="s">
        <v>368</v>
      </c>
      <c r="C1538" t="s">
        <v>1146</v>
      </c>
      <c r="D1538">
        <v>724961052</v>
      </c>
      <c r="E1538" t="s">
        <v>18</v>
      </c>
      <c r="F1538" s="1">
        <v>45496</v>
      </c>
      <c r="G1538" t="s">
        <v>35</v>
      </c>
      <c r="H1538" s="2">
        <v>1579.08</v>
      </c>
      <c r="I1538" t="s">
        <v>25</v>
      </c>
      <c r="J1538" t="s">
        <v>33</v>
      </c>
      <c r="K1538" t="s">
        <v>16</v>
      </c>
    </row>
    <row r="1539" spans="1:11" x14ac:dyDescent="0.25">
      <c r="A1539" t="s">
        <v>1141</v>
      </c>
      <c r="B1539" t="s">
        <v>348</v>
      </c>
      <c r="C1539" t="s">
        <v>1142</v>
      </c>
      <c r="D1539">
        <v>858084159</v>
      </c>
      <c r="E1539" t="s">
        <v>13</v>
      </c>
      <c r="F1539" s="1">
        <v>45303</v>
      </c>
      <c r="G1539" t="s">
        <v>418</v>
      </c>
      <c r="H1539" s="2">
        <v>18.3</v>
      </c>
      <c r="I1539" t="s">
        <v>25</v>
      </c>
      <c r="J1539" t="s">
        <v>22</v>
      </c>
      <c r="K1539" t="s">
        <v>12</v>
      </c>
    </row>
    <row r="1540" spans="1:11" x14ac:dyDescent="0.25">
      <c r="A1540" t="s">
        <v>1115</v>
      </c>
      <c r="B1540" t="s">
        <v>140</v>
      </c>
      <c r="C1540" t="s">
        <v>1116</v>
      </c>
      <c r="D1540">
        <v>827325070</v>
      </c>
      <c r="E1540" t="s">
        <v>9</v>
      </c>
      <c r="F1540" s="1">
        <v>45338</v>
      </c>
      <c r="G1540" t="s">
        <v>10</v>
      </c>
      <c r="H1540" s="2">
        <v>372.98</v>
      </c>
      <c r="I1540" t="s">
        <v>25</v>
      </c>
      <c r="J1540" t="s">
        <v>11</v>
      </c>
      <c r="K1540" t="s">
        <v>12</v>
      </c>
    </row>
    <row r="1541" spans="1:11" x14ac:dyDescent="0.25">
      <c r="A1541" t="s">
        <v>1404</v>
      </c>
      <c r="B1541" t="s">
        <v>388</v>
      </c>
      <c r="C1541" t="s">
        <v>1405</v>
      </c>
      <c r="D1541">
        <v>996524673</v>
      </c>
      <c r="E1541" t="s">
        <v>9</v>
      </c>
      <c r="F1541" s="1">
        <v>45765</v>
      </c>
      <c r="G1541" t="s">
        <v>35</v>
      </c>
      <c r="H1541" s="2">
        <v>701.46</v>
      </c>
      <c r="I1541" t="s">
        <v>25</v>
      </c>
      <c r="J1541" t="s">
        <v>11</v>
      </c>
      <c r="K1541" t="s">
        <v>16</v>
      </c>
    </row>
    <row r="1542" spans="1:11" x14ac:dyDescent="0.25">
      <c r="A1542" t="s">
        <v>721</v>
      </c>
      <c r="B1542" t="s">
        <v>394</v>
      </c>
      <c r="C1542" t="s">
        <v>722</v>
      </c>
      <c r="D1542">
        <v>745405673</v>
      </c>
      <c r="E1542" t="s">
        <v>18</v>
      </c>
      <c r="F1542" s="1">
        <v>45187</v>
      </c>
      <c r="G1542" t="s">
        <v>32</v>
      </c>
      <c r="H1542" s="2">
        <v>1373.87</v>
      </c>
      <c r="I1542" t="s">
        <v>25</v>
      </c>
      <c r="J1542" t="s">
        <v>15</v>
      </c>
      <c r="K1542" t="s">
        <v>16</v>
      </c>
    </row>
    <row r="1543" spans="1:11" x14ac:dyDescent="0.25">
      <c r="A1543" t="s">
        <v>808</v>
      </c>
      <c r="B1543" t="s">
        <v>578</v>
      </c>
      <c r="C1543" t="s">
        <v>809</v>
      </c>
      <c r="D1543">
        <v>741558653</v>
      </c>
      <c r="E1543" t="s">
        <v>9</v>
      </c>
      <c r="F1543" s="1">
        <v>45180</v>
      </c>
      <c r="G1543" t="s">
        <v>14</v>
      </c>
      <c r="H1543" s="2">
        <v>1772.41</v>
      </c>
      <c r="I1543" t="s">
        <v>25</v>
      </c>
      <c r="J1543" t="s">
        <v>22</v>
      </c>
      <c r="K1543" t="s">
        <v>12</v>
      </c>
    </row>
    <row r="1544" spans="1:11" x14ac:dyDescent="0.25">
      <c r="A1544" t="s">
        <v>1153</v>
      </c>
      <c r="B1544" t="s">
        <v>1046</v>
      </c>
      <c r="C1544" t="s">
        <v>1154</v>
      </c>
      <c r="D1544">
        <v>717920847</v>
      </c>
      <c r="E1544" t="s">
        <v>9</v>
      </c>
      <c r="F1544" s="1">
        <v>45684</v>
      </c>
      <c r="G1544" t="s">
        <v>440</v>
      </c>
      <c r="H1544" s="2">
        <v>661.01</v>
      </c>
      <c r="I1544" t="s">
        <v>25</v>
      </c>
      <c r="J1544" t="s">
        <v>33</v>
      </c>
      <c r="K1544" t="s">
        <v>12</v>
      </c>
    </row>
    <row r="1545" spans="1:11" x14ac:dyDescent="0.25">
      <c r="A1545" t="s">
        <v>547</v>
      </c>
      <c r="B1545" t="s">
        <v>96</v>
      </c>
      <c r="C1545" t="s">
        <v>548</v>
      </c>
      <c r="D1545">
        <v>748347564</v>
      </c>
      <c r="E1545" t="s">
        <v>18</v>
      </c>
      <c r="F1545" s="1">
        <v>45487</v>
      </c>
      <c r="G1545" t="s">
        <v>423</v>
      </c>
      <c r="H1545" s="2">
        <v>571.25</v>
      </c>
      <c r="I1545" t="s">
        <v>507</v>
      </c>
      <c r="J1545" t="s">
        <v>11</v>
      </c>
      <c r="K1545" t="s">
        <v>16</v>
      </c>
    </row>
    <row r="1546" spans="1:11" x14ac:dyDescent="0.25">
      <c r="A1546" t="s">
        <v>1137</v>
      </c>
      <c r="B1546" t="s">
        <v>37</v>
      </c>
      <c r="C1546" t="s">
        <v>1138</v>
      </c>
      <c r="D1546">
        <v>840470316</v>
      </c>
      <c r="E1546" t="s">
        <v>18</v>
      </c>
      <c r="F1546" s="1">
        <v>45657</v>
      </c>
      <c r="G1546" t="s">
        <v>412</v>
      </c>
      <c r="H1546" s="2">
        <v>67.36</v>
      </c>
      <c r="I1546" t="s">
        <v>25</v>
      </c>
      <c r="J1546" t="s">
        <v>11</v>
      </c>
      <c r="K1546" t="s">
        <v>12</v>
      </c>
    </row>
    <row r="1547" spans="1:11" x14ac:dyDescent="0.25">
      <c r="A1547" t="s">
        <v>631</v>
      </c>
      <c r="B1547" t="s">
        <v>54</v>
      </c>
      <c r="C1547" t="s">
        <v>632</v>
      </c>
      <c r="D1547">
        <v>717372411</v>
      </c>
      <c r="E1547" t="s">
        <v>9</v>
      </c>
      <c r="F1547" s="1">
        <v>45394</v>
      </c>
      <c r="G1547" t="s">
        <v>14</v>
      </c>
      <c r="H1547" s="2">
        <v>153.63999999999999</v>
      </c>
      <c r="I1547" t="s">
        <v>25</v>
      </c>
      <c r="J1547" t="s">
        <v>11</v>
      </c>
      <c r="K1547" t="s">
        <v>16</v>
      </c>
    </row>
    <row r="1548" spans="1:11" x14ac:dyDescent="0.25">
      <c r="A1548" t="s">
        <v>1012</v>
      </c>
      <c r="B1548" t="s">
        <v>192</v>
      </c>
      <c r="C1548" t="s">
        <v>1013</v>
      </c>
      <c r="D1548">
        <v>735892521</v>
      </c>
      <c r="E1548" t="s">
        <v>18</v>
      </c>
      <c r="F1548" s="1">
        <v>45497</v>
      </c>
      <c r="G1548" t="s">
        <v>412</v>
      </c>
      <c r="H1548" s="2">
        <v>445.8</v>
      </c>
      <c r="I1548" t="s">
        <v>25</v>
      </c>
      <c r="J1548" t="s">
        <v>33</v>
      </c>
      <c r="K1548" t="s">
        <v>12</v>
      </c>
    </row>
    <row r="1549" spans="1:11" x14ac:dyDescent="0.25">
      <c r="A1549" t="s">
        <v>1452</v>
      </c>
      <c r="B1549" t="s">
        <v>109</v>
      </c>
      <c r="C1549" t="s">
        <v>1453</v>
      </c>
      <c r="D1549">
        <v>725811590</v>
      </c>
      <c r="E1549" t="s">
        <v>9</v>
      </c>
      <c r="F1549" s="1">
        <v>45754</v>
      </c>
      <c r="G1549" t="s">
        <v>440</v>
      </c>
      <c r="H1549" s="2">
        <v>735.87</v>
      </c>
      <c r="I1549" t="s">
        <v>25</v>
      </c>
      <c r="J1549" t="s">
        <v>33</v>
      </c>
      <c r="K1549" t="s">
        <v>16</v>
      </c>
    </row>
    <row r="1550" spans="1:11" x14ac:dyDescent="0.25">
      <c r="A1550" t="s">
        <v>1506</v>
      </c>
      <c r="B1550" t="s">
        <v>1507</v>
      </c>
      <c r="C1550" t="s">
        <v>1508</v>
      </c>
      <c r="D1550">
        <v>639874536</v>
      </c>
      <c r="E1550" t="s">
        <v>9</v>
      </c>
      <c r="F1550" s="1">
        <v>45259</v>
      </c>
      <c r="G1550" t="s">
        <v>518</v>
      </c>
      <c r="H1550" s="2">
        <v>1825.03</v>
      </c>
      <c r="I1550" t="s">
        <v>507</v>
      </c>
      <c r="J1550" t="s">
        <v>11</v>
      </c>
      <c r="K1550" t="s">
        <v>16</v>
      </c>
    </row>
    <row r="1551" spans="1:11" x14ac:dyDescent="0.25">
      <c r="A1551" t="s">
        <v>618</v>
      </c>
      <c r="B1551" t="s">
        <v>250</v>
      </c>
      <c r="C1551" t="s">
        <v>619</v>
      </c>
      <c r="D1551">
        <v>730582836</v>
      </c>
      <c r="E1551" t="s">
        <v>18</v>
      </c>
      <c r="F1551" s="1">
        <v>45233</v>
      </c>
      <c r="G1551" t="s">
        <v>451</v>
      </c>
      <c r="H1551" s="2">
        <v>762.02</v>
      </c>
      <c r="I1551" t="s">
        <v>25</v>
      </c>
      <c r="J1551" t="s">
        <v>11</v>
      </c>
      <c r="K1551" t="s">
        <v>12</v>
      </c>
    </row>
    <row r="1552" spans="1:11" x14ac:dyDescent="0.25">
      <c r="A1552" t="s">
        <v>951</v>
      </c>
      <c r="B1552" t="s">
        <v>366</v>
      </c>
      <c r="C1552" t="s">
        <v>952</v>
      </c>
      <c r="D1552">
        <v>721073574</v>
      </c>
      <c r="E1552" t="s">
        <v>18</v>
      </c>
      <c r="F1552" s="1">
        <v>45878</v>
      </c>
      <c r="G1552" t="s">
        <v>475</v>
      </c>
      <c r="H1552" s="2">
        <v>1372.37</v>
      </c>
      <c r="I1552" t="s">
        <v>25</v>
      </c>
      <c r="J1552" t="s">
        <v>11</v>
      </c>
      <c r="K1552" t="s">
        <v>12</v>
      </c>
    </row>
    <row r="1553" spans="1:11" x14ac:dyDescent="0.25">
      <c r="A1553" t="s">
        <v>769</v>
      </c>
      <c r="B1553" t="s">
        <v>140</v>
      </c>
      <c r="C1553" t="s">
        <v>770</v>
      </c>
      <c r="D1553">
        <v>933609477</v>
      </c>
      <c r="E1553" t="s">
        <v>9</v>
      </c>
      <c r="F1553" s="1">
        <v>45469</v>
      </c>
      <c r="G1553" t="s">
        <v>418</v>
      </c>
      <c r="H1553" s="2">
        <v>835.92</v>
      </c>
      <c r="I1553" t="s">
        <v>25</v>
      </c>
      <c r="J1553" t="s">
        <v>11</v>
      </c>
      <c r="K1553" t="s">
        <v>12</v>
      </c>
    </row>
    <row r="1554" spans="1:11" x14ac:dyDescent="0.25">
      <c r="A1554" t="s">
        <v>1509</v>
      </c>
      <c r="B1554" t="s">
        <v>359</v>
      </c>
      <c r="C1554" t="s">
        <v>1510</v>
      </c>
      <c r="D1554">
        <v>749061001</v>
      </c>
      <c r="E1554" t="s">
        <v>9</v>
      </c>
      <c r="F1554" s="1">
        <v>45201</v>
      </c>
      <c r="G1554" t="s">
        <v>451</v>
      </c>
      <c r="H1554" s="2">
        <v>304.17</v>
      </c>
      <c r="I1554" t="s">
        <v>25</v>
      </c>
      <c r="J1554" t="s">
        <v>33</v>
      </c>
      <c r="K1554" t="s">
        <v>16</v>
      </c>
    </row>
    <row r="1555" spans="1:11" x14ac:dyDescent="0.25">
      <c r="A1555" t="s">
        <v>780</v>
      </c>
      <c r="B1555" t="s">
        <v>205</v>
      </c>
      <c r="C1555" t="s">
        <v>781</v>
      </c>
      <c r="D1555">
        <v>710606110</v>
      </c>
      <c r="E1555" t="s">
        <v>18</v>
      </c>
      <c r="F1555" s="1">
        <v>45662</v>
      </c>
      <c r="G1555" t="s">
        <v>21</v>
      </c>
      <c r="H1555" s="2">
        <v>494.98</v>
      </c>
      <c r="I1555" t="s">
        <v>25</v>
      </c>
      <c r="J1555" t="s">
        <v>11</v>
      </c>
      <c r="K1555" t="s">
        <v>16</v>
      </c>
    </row>
    <row r="1556" spans="1:11" x14ac:dyDescent="0.25">
      <c r="A1556" t="s">
        <v>1209</v>
      </c>
      <c r="B1556" t="s">
        <v>363</v>
      </c>
      <c r="C1556" t="s">
        <v>1210</v>
      </c>
      <c r="D1556">
        <v>740184253</v>
      </c>
      <c r="E1556" t="s">
        <v>13</v>
      </c>
      <c r="F1556" s="1">
        <v>45505</v>
      </c>
      <c r="G1556" t="s">
        <v>506</v>
      </c>
      <c r="H1556" s="2">
        <v>1822.65</v>
      </c>
      <c r="I1556" t="s">
        <v>25</v>
      </c>
      <c r="J1556" t="s">
        <v>33</v>
      </c>
      <c r="K1556" t="s">
        <v>12</v>
      </c>
    </row>
    <row r="1557" spans="1:11" x14ac:dyDescent="0.25">
      <c r="A1557" t="s">
        <v>681</v>
      </c>
      <c r="B1557" t="s">
        <v>138</v>
      </c>
      <c r="C1557" t="s">
        <v>682</v>
      </c>
      <c r="D1557">
        <v>746643710</v>
      </c>
      <c r="E1557" t="s">
        <v>13</v>
      </c>
      <c r="F1557" s="1">
        <v>45369</v>
      </c>
      <c r="G1557" t="s">
        <v>478</v>
      </c>
      <c r="H1557" s="2">
        <v>1990.43</v>
      </c>
      <c r="I1557" t="s">
        <v>25</v>
      </c>
      <c r="J1557" t="s">
        <v>22</v>
      </c>
      <c r="K1557" t="s">
        <v>16</v>
      </c>
    </row>
    <row r="1558" spans="1:11" x14ac:dyDescent="0.25">
      <c r="A1558" t="s">
        <v>610</v>
      </c>
      <c r="B1558" t="s">
        <v>385</v>
      </c>
      <c r="C1558" t="s">
        <v>611</v>
      </c>
      <c r="D1558">
        <v>709840779</v>
      </c>
      <c r="E1558" t="s">
        <v>13</v>
      </c>
      <c r="F1558" s="1">
        <v>45737</v>
      </c>
      <c r="G1558" t="s">
        <v>14</v>
      </c>
      <c r="H1558" s="2">
        <v>53.87</v>
      </c>
      <c r="I1558" t="s">
        <v>444</v>
      </c>
      <c r="J1558" t="s">
        <v>26</v>
      </c>
      <c r="K1558" t="s">
        <v>16</v>
      </c>
    </row>
    <row r="1559" spans="1:11" x14ac:dyDescent="0.25">
      <c r="A1559" t="s">
        <v>1331</v>
      </c>
      <c r="B1559" t="s">
        <v>1332</v>
      </c>
      <c r="C1559" t="s">
        <v>1333</v>
      </c>
      <c r="D1559">
        <v>713494387</v>
      </c>
      <c r="E1559" t="s">
        <v>9</v>
      </c>
      <c r="F1559" s="1">
        <v>45569</v>
      </c>
      <c r="G1559" t="s">
        <v>415</v>
      </c>
      <c r="H1559" s="2">
        <v>201.59</v>
      </c>
      <c r="I1559" t="s">
        <v>25</v>
      </c>
      <c r="J1559" t="s">
        <v>22</v>
      </c>
      <c r="K1559" t="s">
        <v>16</v>
      </c>
    </row>
    <row r="1560" spans="1:11" x14ac:dyDescent="0.25">
      <c r="A1560" t="s">
        <v>1297</v>
      </c>
      <c r="B1560" t="s">
        <v>247</v>
      </c>
      <c r="C1560" t="s">
        <v>1298</v>
      </c>
      <c r="D1560">
        <v>937405090</v>
      </c>
      <c r="E1560" t="s">
        <v>13</v>
      </c>
      <c r="F1560" s="1">
        <v>45668</v>
      </c>
      <c r="G1560" t="s">
        <v>460</v>
      </c>
      <c r="H1560" s="2">
        <v>1103.49</v>
      </c>
      <c r="I1560" t="s">
        <v>25</v>
      </c>
      <c r="J1560" t="s">
        <v>33</v>
      </c>
      <c r="K1560" t="s">
        <v>12</v>
      </c>
    </row>
    <row r="1561" spans="1:11" x14ac:dyDescent="0.25">
      <c r="A1561" t="s">
        <v>841</v>
      </c>
      <c r="B1561" t="s">
        <v>275</v>
      </c>
      <c r="C1561" t="s">
        <v>842</v>
      </c>
      <c r="D1561">
        <v>709339074</v>
      </c>
      <c r="E1561" t="s">
        <v>9</v>
      </c>
      <c r="F1561" s="1">
        <v>45202</v>
      </c>
      <c r="G1561" t="s">
        <v>460</v>
      </c>
      <c r="H1561" s="2">
        <v>71.02</v>
      </c>
      <c r="I1561" t="s">
        <v>25</v>
      </c>
      <c r="J1561" t="s">
        <v>22</v>
      </c>
      <c r="K1561" t="s">
        <v>16</v>
      </c>
    </row>
    <row r="1562" spans="1:11" x14ac:dyDescent="0.25">
      <c r="A1562" t="s">
        <v>1450</v>
      </c>
      <c r="B1562" t="s">
        <v>85</v>
      </c>
      <c r="C1562" t="s">
        <v>1451</v>
      </c>
      <c r="D1562">
        <v>962917290</v>
      </c>
      <c r="E1562" t="s">
        <v>9</v>
      </c>
      <c r="F1562" s="1">
        <v>45180</v>
      </c>
      <c r="G1562" t="s">
        <v>39</v>
      </c>
      <c r="H1562" s="2">
        <v>32.380000000000003</v>
      </c>
      <c r="I1562" t="s">
        <v>25</v>
      </c>
      <c r="J1562" t="s">
        <v>22</v>
      </c>
      <c r="K1562" t="s">
        <v>16</v>
      </c>
    </row>
    <row r="1563" spans="1:11" x14ac:dyDescent="0.25">
      <c r="A1563" t="s">
        <v>1070</v>
      </c>
      <c r="B1563" t="s">
        <v>383</v>
      </c>
      <c r="C1563" t="s">
        <v>1071</v>
      </c>
      <c r="D1563">
        <v>746264285</v>
      </c>
      <c r="E1563" t="s">
        <v>9</v>
      </c>
      <c r="F1563" s="1">
        <v>45633</v>
      </c>
      <c r="G1563" t="s">
        <v>47</v>
      </c>
      <c r="H1563" s="2">
        <v>1758.94</v>
      </c>
      <c r="I1563" t="s">
        <v>25</v>
      </c>
      <c r="J1563" t="s">
        <v>36</v>
      </c>
      <c r="K1563" t="s">
        <v>16</v>
      </c>
    </row>
    <row r="1564" spans="1:11" x14ac:dyDescent="0.25">
      <c r="A1564" t="s">
        <v>752</v>
      </c>
      <c r="B1564" t="s">
        <v>340</v>
      </c>
      <c r="C1564" t="s">
        <v>753</v>
      </c>
      <c r="D1564">
        <v>723183453</v>
      </c>
      <c r="E1564" t="s">
        <v>13</v>
      </c>
      <c r="F1564" s="1">
        <v>45302</v>
      </c>
      <c r="G1564" t="s">
        <v>460</v>
      </c>
      <c r="H1564" s="2">
        <v>1709.67</v>
      </c>
      <c r="I1564" t="s">
        <v>444</v>
      </c>
      <c r="J1564" t="s">
        <v>11</v>
      </c>
      <c r="K1564" t="s">
        <v>16</v>
      </c>
    </row>
    <row r="1565" spans="1:11" x14ac:dyDescent="0.25">
      <c r="A1565" t="s">
        <v>1257</v>
      </c>
      <c r="B1565" t="s">
        <v>135</v>
      </c>
      <c r="C1565" t="s">
        <v>1258</v>
      </c>
      <c r="D1565">
        <v>876896889</v>
      </c>
      <c r="E1565" t="s">
        <v>18</v>
      </c>
      <c r="F1565" s="1">
        <v>45796</v>
      </c>
      <c r="G1565" t="s">
        <v>475</v>
      </c>
      <c r="H1565" s="2">
        <v>463.59</v>
      </c>
      <c r="I1565" t="s">
        <v>25</v>
      </c>
      <c r="J1565" t="s">
        <v>33</v>
      </c>
      <c r="K1565" t="s">
        <v>12</v>
      </c>
    </row>
    <row r="1566" spans="1:11" x14ac:dyDescent="0.25">
      <c r="A1566" t="s">
        <v>445</v>
      </c>
      <c r="B1566" t="s">
        <v>155</v>
      </c>
      <c r="C1566" t="s">
        <v>446</v>
      </c>
      <c r="D1566">
        <v>720435143</v>
      </c>
      <c r="E1566" t="s">
        <v>9</v>
      </c>
      <c r="F1566" s="1">
        <v>45553</v>
      </c>
      <c r="G1566" t="s">
        <v>21</v>
      </c>
      <c r="H1566" s="2">
        <v>1113.79</v>
      </c>
      <c r="I1566" t="s">
        <v>25</v>
      </c>
      <c r="J1566" t="s">
        <v>22</v>
      </c>
      <c r="K1566" t="s">
        <v>16</v>
      </c>
    </row>
    <row r="1567" spans="1:11" x14ac:dyDescent="0.25">
      <c r="A1567" t="s">
        <v>1284</v>
      </c>
      <c r="B1567" t="s">
        <v>103</v>
      </c>
      <c r="C1567" t="s">
        <v>1285</v>
      </c>
      <c r="D1567">
        <v>714491763</v>
      </c>
      <c r="E1567" t="s">
        <v>18</v>
      </c>
      <c r="F1567" s="1">
        <v>45714</v>
      </c>
      <c r="G1567" t="s">
        <v>35</v>
      </c>
      <c r="H1567" s="2">
        <v>157.02000000000001</v>
      </c>
      <c r="I1567" t="s">
        <v>25</v>
      </c>
      <c r="J1567" t="s">
        <v>11</v>
      </c>
      <c r="K1567" t="s">
        <v>12</v>
      </c>
    </row>
    <row r="1568" spans="1:11" x14ac:dyDescent="0.25">
      <c r="A1568" t="s">
        <v>1084</v>
      </c>
      <c r="B1568" t="s">
        <v>306</v>
      </c>
      <c r="C1568" t="s">
        <v>1085</v>
      </c>
      <c r="D1568">
        <v>722110763</v>
      </c>
      <c r="E1568" t="s">
        <v>13</v>
      </c>
      <c r="F1568" s="1">
        <v>45463</v>
      </c>
      <c r="G1568" t="s">
        <v>32</v>
      </c>
      <c r="H1568" s="2">
        <v>1177.6300000000001</v>
      </c>
      <c r="I1568" t="s">
        <v>25</v>
      </c>
      <c r="J1568" t="s">
        <v>36</v>
      </c>
      <c r="K1568" t="s">
        <v>16</v>
      </c>
    </row>
    <row r="1569" spans="1:11" x14ac:dyDescent="0.25">
      <c r="A1569" t="s">
        <v>502</v>
      </c>
      <c r="B1569" t="s">
        <v>352</v>
      </c>
      <c r="C1569" t="s">
        <v>503</v>
      </c>
      <c r="D1569">
        <v>731725140</v>
      </c>
      <c r="E1569" t="s">
        <v>9</v>
      </c>
      <c r="F1569" s="1">
        <v>45738</v>
      </c>
      <c r="G1569" t="s">
        <v>415</v>
      </c>
      <c r="H1569" s="2">
        <v>339.63</v>
      </c>
      <c r="I1569" t="s">
        <v>25</v>
      </c>
      <c r="J1569" t="s">
        <v>11</v>
      </c>
      <c r="K1569" t="s">
        <v>16</v>
      </c>
    </row>
    <row r="1570" spans="1:11" x14ac:dyDescent="0.25">
      <c r="A1570" t="s">
        <v>703</v>
      </c>
      <c r="B1570" t="s">
        <v>196</v>
      </c>
      <c r="C1570" t="s">
        <v>704</v>
      </c>
      <c r="D1570">
        <v>713699779</v>
      </c>
      <c r="E1570" t="s">
        <v>9</v>
      </c>
      <c r="F1570" s="1">
        <v>45539</v>
      </c>
      <c r="G1570" t="s">
        <v>47</v>
      </c>
      <c r="H1570" s="2">
        <v>648.27</v>
      </c>
      <c r="I1570" t="s">
        <v>25</v>
      </c>
      <c r="J1570" t="s">
        <v>33</v>
      </c>
      <c r="K1570" t="s">
        <v>16</v>
      </c>
    </row>
    <row r="1571" spans="1:11" x14ac:dyDescent="0.25">
      <c r="A1571" t="s">
        <v>1412</v>
      </c>
      <c r="B1571" t="s">
        <v>332</v>
      </c>
      <c r="C1571" t="s">
        <v>1413</v>
      </c>
      <c r="D1571">
        <v>631492423</v>
      </c>
      <c r="E1571" t="s">
        <v>18</v>
      </c>
      <c r="F1571" s="1">
        <v>45284</v>
      </c>
      <c r="G1571" t="s">
        <v>475</v>
      </c>
      <c r="H1571" s="2">
        <v>365.83</v>
      </c>
      <c r="I1571" t="s">
        <v>25</v>
      </c>
      <c r="J1571" t="s">
        <v>36</v>
      </c>
      <c r="K1571" t="s">
        <v>12</v>
      </c>
    </row>
    <row r="1572" spans="1:11" x14ac:dyDescent="0.25">
      <c r="A1572" t="s">
        <v>434</v>
      </c>
      <c r="B1572" t="s">
        <v>379</v>
      </c>
      <c r="C1572" t="s">
        <v>435</v>
      </c>
      <c r="D1572">
        <v>740994031</v>
      </c>
      <c r="E1572" t="s">
        <v>18</v>
      </c>
      <c r="F1572" s="1">
        <v>45853</v>
      </c>
      <c r="G1572" t="s">
        <v>423</v>
      </c>
      <c r="H1572" s="2">
        <v>1288.55</v>
      </c>
      <c r="I1572" t="s">
        <v>25</v>
      </c>
      <c r="J1572" t="s">
        <v>33</v>
      </c>
      <c r="K1572" t="s">
        <v>16</v>
      </c>
    </row>
    <row r="1573" spans="1:11" x14ac:dyDescent="0.25">
      <c r="A1573" t="s">
        <v>1147</v>
      </c>
      <c r="B1573" t="s">
        <v>196</v>
      </c>
      <c r="C1573" t="s">
        <v>1148</v>
      </c>
      <c r="D1573">
        <v>732255248</v>
      </c>
      <c r="E1573" t="s">
        <v>9</v>
      </c>
      <c r="F1573" s="1">
        <v>45528</v>
      </c>
      <c r="G1573" t="s">
        <v>10</v>
      </c>
      <c r="H1573" s="2">
        <v>1374.37</v>
      </c>
      <c r="I1573" t="s">
        <v>444</v>
      </c>
      <c r="J1573" t="s">
        <v>22</v>
      </c>
      <c r="K1573" t="s">
        <v>16</v>
      </c>
    </row>
    <row r="1574" spans="1:11" x14ac:dyDescent="0.25">
      <c r="A1574" t="s">
        <v>1511</v>
      </c>
      <c r="B1574" t="s">
        <v>41</v>
      </c>
      <c r="C1574" t="s">
        <v>1512</v>
      </c>
      <c r="D1574">
        <v>727299226</v>
      </c>
      <c r="E1574" t="s">
        <v>9</v>
      </c>
      <c r="F1574" s="1">
        <v>45381</v>
      </c>
      <c r="G1574" t="s">
        <v>24</v>
      </c>
      <c r="H1574" s="2">
        <v>991.6</v>
      </c>
      <c r="I1574" t="s">
        <v>25</v>
      </c>
      <c r="J1574" t="s">
        <v>26</v>
      </c>
      <c r="K1574" t="s">
        <v>16</v>
      </c>
    </row>
    <row r="1575" spans="1:11" x14ac:dyDescent="0.25">
      <c r="A1575" t="s">
        <v>752</v>
      </c>
      <c r="B1575" t="s">
        <v>340</v>
      </c>
      <c r="C1575" t="s">
        <v>753</v>
      </c>
      <c r="D1575">
        <v>723183453</v>
      </c>
      <c r="E1575" t="s">
        <v>13</v>
      </c>
      <c r="F1575" s="1">
        <v>45223</v>
      </c>
      <c r="G1575" t="s">
        <v>460</v>
      </c>
      <c r="H1575" s="2">
        <v>182.51</v>
      </c>
      <c r="I1575" t="s">
        <v>25</v>
      </c>
      <c r="J1575" t="s">
        <v>22</v>
      </c>
      <c r="K1575" t="s">
        <v>16</v>
      </c>
    </row>
    <row r="1576" spans="1:11" x14ac:dyDescent="0.25">
      <c r="A1576" t="s">
        <v>482</v>
      </c>
      <c r="B1576" t="s">
        <v>66</v>
      </c>
      <c r="C1576" t="s">
        <v>483</v>
      </c>
      <c r="D1576">
        <v>951987392</v>
      </c>
      <c r="E1576" t="s">
        <v>9</v>
      </c>
      <c r="F1576" s="1">
        <v>45742</v>
      </c>
      <c r="G1576" t="s">
        <v>440</v>
      </c>
      <c r="H1576" s="2">
        <v>1164.94</v>
      </c>
      <c r="I1576" t="s">
        <v>25</v>
      </c>
      <c r="J1576" t="s">
        <v>26</v>
      </c>
      <c r="K1576" t="s">
        <v>16</v>
      </c>
    </row>
    <row r="1577" spans="1:11" x14ac:dyDescent="0.25">
      <c r="A1577" t="s">
        <v>1486</v>
      </c>
      <c r="B1577" t="s">
        <v>143</v>
      </c>
      <c r="C1577" t="s">
        <v>1487</v>
      </c>
      <c r="D1577">
        <v>707166146</v>
      </c>
      <c r="E1577" t="s">
        <v>9</v>
      </c>
      <c r="F1577" s="1">
        <v>45284</v>
      </c>
      <c r="G1577" t="s">
        <v>21</v>
      </c>
      <c r="H1577" s="2">
        <v>1669.57</v>
      </c>
      <c r="I1577" t="s">
        <v>25</v>
      </c>
      <c r="J1577" t="s">
        <v>36</v>
      </c>
      <c r="K1577" t="s">
        <v>12</v>
      </c>
    </row>
    <row r="1578" spans="1:11" x14ac:dyDescent="0.25">
      <c r="A1578" t="s">
        <v>679</v>
      </c>
      <c r="B1578" t="s">
        <v>194</v>
      </c>
      <c r="C1578" t="s">
        <v>680</v>
      </c>
      <c r="D1578">
        <v>713186177</v>
      </c>
      <c r="E1578" t="s">
        <v>18</v>
      </c>
      <c r="F1578" s="1">
        <v>45847</v>
      </c>
      <c r="G1578" t="s">
        <v>418</v>
      </c>
      <c r="H1578" s="2">
        <v>1901.12</v>
      </c>
      <c r="I1578" t="s">
        <v>25</v>
      </c>
      <c r="J1578" t="s">
        <v>26</v>
      </c>
      <c r="K1578" t="s">
        <v>12</v>
      </c>
    </row>
    <row r="1579" spans="1:11" x14ac:dyDescent="0.25">
      <c r="A1579" t="s">
        <v>1513</v>
      </c>
      <c r="B1579" t="s">
        <v>558</v>
      </c>
      <c r="C1579" t="s">
        <v>1514</v>
      </c>
      <c r="D1579">
        <v>667263226</v>
      </c>
      <c r="E1579" t="s">
        <v>18</v>
      </c>
      <c r="F1579" s="1">
        <v>45590</v>
      </c>
      <c r="G1579" t="s">
        <v>418</v>
      </c>
      <c r="H1579" s="2">
        <v>443.45</v>
      </c>
      <c r="I1579" t="s">
        <v>444</v>
      </c>
      <c r="J1579" t="s">
        <v>36</v>
      </c>
      <c r="K1579" t="s">
        <v>16</v>
      </c>
    </row>
    <row r="1580" spans="1:11" x14ac:dyDescent="0.25">
      <c r="A1580" t="s">
        <v>656</v>
      </c>
      <c r="B1580" t="s">
        <v>110</v>
      </c>
      <c r="C1580" t="s">
        <v>657</v>
      </c>
      <c r="D1580">
        <v>735500587</v>
      </c>
      <c r="E1580" t="s">
        <v>18</v>
      </c>
      <c r="F1580" s="1">
        <v>45505</v>
      </c>
      <c r="G1580" t="s">
        <v>32</v>
      </c>
      <c r="H1580" s="2">
        <v>73.58</v>
      </c>
      <c r="I1580" t="s">
        <v>507</v>
      </c>
      <c r="J1580" t="s">
        <v>11</v>
      </c>
      <c r="K1580" t="s">
        <v>12</v>
      </c>
    </row>
    <row r="1581" spans="1:11" x14ac:dyDescent="0.25">
      <c r="A1581" t="s">
        <v>1265</v>
      </c>
      <c r="B1581" t="s">
        <v>86</v>
      </c>
      <c r="C1581" t="s">
        <v>1266</v>
      </c>
      <c r="D1581">
        <v>721786256</v>
      </c>
      <c r="E1581" t="s">
        <v>9</v>
      </c>
      <c r="F1581" s="1">
        <v>45229</v>
      </c>
      <c r="G1581" t="s">
        <v>423</v>
      </c>
      <c r="H1581" s="2">
        <v>814.63</v>
      </c>
      <c r="I1581" t="s">
        <v>25</v>
      </c>
      <c r="J1581" t="s">
        <v>22</v>
      </c>
      <c r="K1581" t="s">
        <v>12</v>
      </c>
    </row>
    <row r="1582" spans="1:11" x14ac:dyDescent="0.25">
      <c r="A1582" t="s">
        <v>763</v>
      </c>
      <c r="B1582" t="s">
        <v>343</v>
      </c>
      <c r="C1582" t="s">
        <v>764</v>
      </c>
      <c r="D1582">
        <v>679029843</v>
      </c>
      <c r="E1582" t="s">
        <v>13</v>
      </c>
      <c r="F1582" s="1">
        <v>45736</v>
      </c>
      <c r="G1582" t="s">
        <v>475</v>
      </c>
      <c r="H1582" s="2">
        <v>618.64</v>
      </c>
      <c r="I1582" t="s">
        <v>25</v>
      </c>
      <c r="J1582" t="s">
        <v>22</v>
      </c>
      <c r="K1582" t="s">
        <v>12</v>
      </c>
    </row>
    <row r="1583" spans="1:11" x14ac:dyDescent="0.25">
      <c r="A1583" t="s">
        <v>1478</v>
      </c>
      <c r="B1583" t="s">
        <v>213</v>
      </c>
      <c r="C1583" t="s">
        <v>1479</v>
      </c>
      <c r="D1583">
        <v>627548062</v>
      </c>
      <c r="E1583" t="s">
        <v>9</v>
      </c>
      <c r="F1583" s="1">
        <v>45217</v>
      </c>
      <c r="G1583" t="s">
        <v>440</v>
      </c>
      <c r="H1583" s="2">
        <v>1521.72</v>
      </c>
      <c r="I1583" t="s">
        <v>25</v>
      </c>
      <c r="J1583" t="s">
        <v>22</v>
      </c>
      <c r="K1583" t="s">
        <v>12</v>
      </c>
    </row>
    <row r="1584" spans="1:11" x14ac:dyDescent="0.25">
      <c r="A1584" t="s">
        <v>1515</v>
      </c>
      <c r="B1584" t="s">
        <v>323</v>
      </c>
      <c r="C1584" t="s">
        <v>1516</v>
      </c>
      <c r="D1584">
        <v>738718693</v>
      </c>
      <c r="E1584" t="s">
        <v>18</v>
      </c>
      <c r="F1584" s="1">
        <v>45257</v>
      </c>
      <c r="G1584" t="s">
        <v>423</v>
      </c>
      <c r="H1584" s="2">
        <v>1096.4000000000001</v>
      </c>
      <c r="I1584" t="s">
        <v>444</v>
      </c>
      <c r="J1584" t="s">
        <v>11</v>
      </c>
      <c r="K1584" t="s">
        <v>16</v>
      </c>
    </row>
    <row r="1585" spans="1:11" x14ac:dyDescent="0.25">
      <c r="A1585" t="s">
        <v>1334</v>
      </c>
      <c r="B1585" t="s">
        <v>1293</v>
      </c>
      <c r="C1585" t="s">
        <v>1335</v>
      </c>
      <c r="D1585">
        <v>990539729</v>
      </c>
      <c r="E1585" t="s">
        <v>9</v>
      </c>
      <c r="F1585" s="1">
        <v>45678</v>
      </c>
      <c r="G1585" t="s">
        <v>14</v>
      </c>
      <c r="H1585" s="2">
        <v>1493.87</v>
      </c>
      <c r="I1585" t="s">
        <v>25</v>
      </c>
      <c r="J1585" t="s">
        <v>11</v>
      </c>
      <c r="K1585" t="s">
        <v>12</v>
      </c>
    </row>
    <row r="1586" spans="1:11" x14ac:dyDescent="0.25">
      <c r="A1586" t="s">
        <v>810</v>
      </c>
      <c r="B1586" t="s">
        <v>811</v>
      </c>
      <c r="C1586" t="s">
        <v>812</v>
      </c>
      <c r="D1586">
        <v>741972258</v>
      </c>
      <c r="E1586" t="s">
        <v>9</v>
      </c>
      <c r="F1586" s="1">
        <v>45241</v>
      </c>
      <c r="G1586" t="s">
        <v>603</v>
      </c>
      <c r="H1586" s="2">
        <v>1326.75</v>
      </c>
      <c r="I1586" t="s">
        <v>25</v>
      </c>
      <c r="J1586" t="s">
        <v>36</v>
      </c>
      <c r="K1586" t="s">
        <v>12</v>
      </c>
    </row>
    <row r="1587" spans="1:11" x14ac:dyDescent="0.25">
      <c r="A1587" t="s">
        <v>1517</v>
      </c>
      <c r="B1587" t="s">
        <v>381</v>
      </c>
      <c r="C1587" t="s">
        <v>1518</v>
      </c>
      <c r="D1587">
        <v>950491680</v>
      </c>
      <c r="E1587" t="s">
        <v>9</v>
      </c>
      <c r="F1587" s="1">
        <v>45529</v>
      </c>
      <c r="G1587" t="s">
        <v>443</v>
      </c>
      <c r="H1587" s="2">
        <v>1787.11</v>
      </c>
      <c r="I1587" t="s">
        <v>25</v>
      </c>
      <c r="J1587" t="s">
        <v>22</v>
      </c>
      <c r="K1587" t="s">
        <v>16</v>
      </c>
    </row>
    <row r="1588" spans="1:11" x14ac:dyDescent="0.25">
      <c r="A1588" t="s">
        <v>841</v>
      </c>
      <c r="B1588" t="s">
        <v>275</v>
      </c>
      <c r="C1588" t="s">
        <v>842</v>
      </c>
      <c r="D1588">
        <v>709339074</v>
      </c>
      <c r="E1588" t="s">
        <v>9</v>
      </c>
      <c r="F1588" s="1">
        <v>45392</v>
      </c>
      <c r="G1588" t="s">
        <v>460</v>
      </c>
      <c r="H1588" s="2">
        <v>733.3</v>
      </c>
      <c r="I1588" t="s">
        <v>25</v>
      </c>
      <c r="J1588" t="s">
        <v>33</v>
      </c>
      <c r="K1588" t="s">
        <v>12</v>
      </c>
    </row>
    <row r="1589" spans="1:11" x14ac:dyDescent="0.25">
      <c r="A1589" t="s">
        <v>822</v>
      </c>
      <c r="B1589" t="s">
        <v>392</v>
      </c>
      <c r="C1589" t="s">
        <v>823</v>
      </c>
      <c r="D1589">
        <v>725966550</v>
      </c>
      <c r="E1589" t="s">
        <v>9</v>
      </c>
      <c r="F1589" s="1">
        <v>45505</v>
      </c>
      <c r="G1589" t="s">
        <v>10</v>
      </c>
      <c r="H1589" s="2">
        <v>1106.4100000000001</v>
      </c>
      <c r="I1589" t="s">
        <v>25</v>
      </c>
      <c r="J1589" t="s">
        <v>22</v>
      </c>
      <c r="K1589" t="s">
        <v>12</v>
      </c>
    </row>
    <row r="1590" spans="1:11" x14ac:dyDescent="0.25">
      <c r="A1590" t="s">
        <v>958</v>
      </c>
      <c r="B1590" t="s">
        <v>61</v>
      </c>
      <c r="C1590" t="s">
        <v>959</v>
      </c>
      <c r="D1590">
        <v>725944347</v>
      </c>
      <c r="E1590" t="s">
        <v>18</v>
      </c>
      <c r="F1590" s="1">
        <v>45636</v>
      </c>
      <c r="G1590" t="s">
        <v>423</v>
      </c>
      <c r="H1590" s="2">
        <v>1522.54</v>
      </c>
      <c r="I1590" t="s">
        <v>507</v>
      </c>
      <c r="J1590" t="s">
        <v>36</v>
      </c>
      <c r="K1590" t="s">
        <v>16</v>
      </c>
    </row>
    <row r="1591" spans="1:11" x14ac:dyDescent="0.25">
      <c r="A1591" t="s">
        <v>1232</v>
      </c>
      <c r="B1591" t="s">
        <v>82</v>
      </c>
      <c r="C1591" t="s">
        <v>1233</v>
      </c>
      <c r="D1591">
        <v>879206409</v>
      </c>
      <c r="E1591" t="s">
        <v>9</v>
      </c>
      <c r="F1591" s="1">
        <v>45424</v>
      </c>
      <c r="G1591" t="s">
        <v>415</v>
      </c>
      <c r="H1591" s="2">
        <v>1658.45</v>
      </c>
      <c r="I1591" t="s">
        <v>25</v>
      </c>
      <c r="J1591" t="s">
        <v>11</v>
      </c>
      <c r="K1591" t="s">
        <v>12</v>
      </c>
    </row>
    <row r="1592" spans="1:11" x14ac:dyDescent="0.25">
      <c r="A1592" t="s">
        <v>1261</v>
      </c>
      <c r="B1592" t="s">
        <v>374</v>
      </c>
      <c r="C1592" t="s">
        <v>1262</v>
      </c>
      <c r="D1592">
        <v>915781255</v>
      </c>
      <c r="E1592" t="s">
        <v>13</v>
      </c>
      <c r="F1592" s="1">
        <v>45649</v>
      </c>
      <c r="G1592" t="s">
        <v>423</v>
      </c>
      <c r="H1592" s="2">
        <v>1361.26</v>
      </c>
      <c r="I1592" t="s">
        <v>25</v>
      </c>
      <c r="J1592" t="s">
        <v>11</v>
      </c>
      <c r="K1592" t="s">
        <v>16</v>
      </c>
    </row>
    <row r="1593" spans="1:11" x14ac:dyDescent="0.25">
      <c r="A1593" t="s">
        <v>1115</v>
      </c>
      <c r="B1593" t="s">
        <v>140</v>
      </c>
      <c r="C1593" t="s">
        <v>1116</v>
      </c>
      <c r="D1593">
        <v>827325070</v>
      </c>
      <c r="E1593" t="s">
        <v>9</v>
      </c>
      <c r="F1593" s="1">
        <v>45526</v>
      </c>
      <c r="G1593" t="s">
        <v>10</v>
      </c>
      <c r="H1593" s="2">
        <v>540.80999999999995</v>
      </c>
      <c r="I1593" t="s">
        <v>25</v>
      </c>
      <c r="J1593" t="s">
        <v>26</v>
      </c>
      <c r="K1593" t="s">
        <v>16</v>
      </c>
    </row>
    <row r="1594" spans="1:11" x14ac:dyDescent="0.25">
      <c r="A1594" t="s">
        <v>784</v>
      </c>
      <c r="B1594" t="s">
        <v>240</v>
      </c>
      <c r="C1594" t="s">
        <v>785</v>
      </c>
      <c r="D1594">
        <v>803123797</v>
      </c>
      <c r="E1594" t="s">
        <v>9</v>
      </c>
      <c r="F1594" s="1">
        <v>45206</v>
      </c>
      <c r="G1594" t="s">
        <v>518</v>
      </c>
      <c r="H1594" s="2">
        <v>1629.43</v>
      </c>
      <c r="I1594" t="s">
        <v>444</v>
      </c>
      <c r="J1594" t="s">
        <v>36</v>
      </c>
      <c r="K1594" t="s">
        <v>12</v>
      </c>
    </row>
    <row r="1595" spans="1:11" x14ac:dyDescent="0.25">
      <c r="A1595" t="s">
        <v>1349</v>
      </c>
      <c r="B1595" t="s">
        <v>184</v>
      </c>
      <c r="C1595" t="s">
        <v>1350</v>
      </c>
      <c r="D1595">
        <v>718083036</v>
      </c>
      <c r="E1595" t="s">
        <v>18</v>
      </c>
      <c r="F1595" s="1">
        <v>45688</v>
      </c>
      <c r="G1595" t="s">
        <v>10</v>
      </c>
      <c r="H1595" s="2">
        <v>1910.18</v>
      </c>
      <c r="I1595" t="s">
        <v>507</v>
      </c>
      <c r="J1595" t="s">
        <v>33</v>
      </c>
      <c r="K1595" t="s">
        <v>16</v>
      </c>
    </row>
    <row r="1596" spans="1:11" x14ac:dyDescent="0.25">
      <c r="A1596" t="s">
        <v>545</v>
      </c>
      <c r="B1596" t="s">
        <v>334</v>
      </c>
      <c r="C1596" t="s">
        <v>546</v>
      </c>
      <c r="D1596">
        <v>739112559</v>
      </c>
      <c r="E1596" t="s">
        <v>9</v>
      </c>
      <c r="F1596" s="1">
        <v>45380</v>
      </c>
      <c r="G1596" t="s">
        <v>443</v>
      </c>
      <c r="H1596" s="2">
        <v>100.98</v>
      </c>
      <c r="I1596" t="s">
        <v>25</v>
      </c>
      <c r="J1596" t="s">
        <v>33</v>
      </c>
      <c r="K1596" t="s">
        <v>12</v>
      </c>
    </row>
    <row r="1597" spans="1:11" x14ac:dyDescent="0.25">
      <c r="A1597" t="s">
        <v>872</v>
      </c>
      <c r="B1597" t="s">
        <v>873</v>
      </c>
      <c r="C1597" t="s">
        <v>874</v>
      </c>
      <c r="D1597">
        <v>733766125</v>
      </c>
      <c r="E1597" t="s">
        <v>9</v>
      </c>
      <c r="F1597" s="1">
        <v>45468</v>
      </c>
      <c r="G1597" t="s">
        <v>415</v>
      </c>
      <c r="H1597" s="2">
        <v>502.03</v>
      </c>
      <c r="I1597" t="s">
        <v>507</v>
      </c>
      <c r="J1597" t="s">
        <v>22</v>
      </c>
      <c r="K1597" t="s">
        <v>16</v>
      </c>
    </row>
    <row r="1598" spans="1:11" x14ac:dyDescent="0.25">
      <c r="A1598" t="s">
        <v>928</v>
      </c>
      <c r="B1598" t="s">
        <v>141</v>
      </c>
      <c r="C1598" t="s">
        <v>929</v>
      </c>
      <c r="D1598">
        <v>737596279</v>
      </c>
      <c r="E1598" t="s">
        <v>9</v>
      </c>
      <c r="F1598" s="1">
        <v>45240</v>
      </c>
      <c r="G1598" t="s">
        <v>603</v>
      </c>
      <c r="H1598" s="2">
        <v>1156.97</v>
      </c>
      <c r="I1598" t="s">
        <v>25</v>
      </c>
      <c r="J1598" t="s">
        <v>33</v>
      </c>
      <c r="K1598" t="s">
        <v>12</v>
      </c>
    </row>
    <row r="1599" spans="1:11" x14ac:dyDescent="0.25">
      <c r="A1599" t="s">
        <v>1519</v>
      </c>
      <c r="B1599" t="s">
        <v>369</v>
      </c>
      <c r="C1599" t="s">
        <v>1520</v>
      </c>
      <c r="D1599">
        <v>715925073</v>
      </c>
      <c r="E1599" t="s">
        <v>9</v>
      </c>
      <c r="F1599" s="1">
        <v>45269</v>
      </c>
      <c r="G1599" t="s">
        <v>423</v>
      </c>
      <c r="H1599" s="2">
        <v>427.91</v>
      </c>
      <c r="I1599" t="s">
        <v>25</v>
      </c>
      <c r="J1599" t="s">
        <v>22</v>
      </c>
      <c r="K1599" t="s">
        <v>16</v>
      </c>
    </row>
    <row r="1600" spans="1:11" x14ac:dyDescent="0.25">
      <c r="A1600" t="s">
        <v>1222</v>
      </c>
      <c r="B1600" t="s">
        <v>399</v>
      </c>
      <c r="C1600" t="s">
        <v>1223</v>
      </c>
      <c r="D1600">
        <v>639108490</v>
      </c>
      <c r="E1600" t="s">
        <v>9</v>
      </c>
      <c r="F1600" s="1">
        <v>45223</v>
      </c>
      <c r="G1600" t="s">
        <v>506</v>
      </c>
      <c r="H1600" s="2">
        <v>1865.08</v>
      </c>
      <c r="I1600" t="s">
        <v>25</v>
      </c>
      <c r="J1600" t="s">
        <v>11</v>
      </c>
      <c r="K1600" t="s">
        <v>12</v>
      </c>
    </row>
    <row r="1601" spans="1:11" x14ac:dyDescent="0.25">
      <c r="A1601" t="s">
        <v>1472</v>
      </c>
      <c r="B1601" t="s">
        <v>100</v>
      </c>
      <c r="C1601" t="s">
        <v>1473</v>
      </c>
      <c r="D1601">
        <v>749190017</v>
      </c>
      <c r="E1601" t="s">
        <v>18</v>
      </c>
      <c r="F1601" s="1">
        <v>45522</v>
      </c>
      <c r="G1601" t="s">
        <v>624</v>
      </c>
      <c r="H1601" s="2">
        <v>291.42</v>
      </c>
      <c r="I1601" t="s">
        <v>25</v>
      </c>
      <c r="J1601" t="s">
        <v>11</v>
      </c>
      <c r="K1601" t="s">
        <v>12</v>
      </c>
    </row>
    <row r="1602" spans="1:11" x14ac:dyDescent="0.25">
      <c r="A1602" t="s">
        <v>1032</v>
      </c>
      <c r="B1602" t="s">
        <v>382</v>
      </c>
      <c r="C1602" t="s">
        <v>1033</v>
      </c>
      <c r="D1602">
        <v>869663629</v>
      </c>
      <c r="E1602" t="s">
        <v>9</v>
      </c>
      <c r="F1602" s="1">
        <v>45290</v>
      </c>
      <c r="G1602" t="s">
        <v>518</v>
      </c>
      <c r="H1602" s="2">
        <v>635.54999999999995</v>
      </c>
      <c r="I1602" t="s">
        <v>25</v>
      </c>
      <c r="J1602" t="s">
        <v>22</v>
      </c>
      <c r="K1602" t="s">
        <v>16</v>
      </c>
    </row>
    <row r="1603" spans="1:11" x14ac:dyDescent="0.25">
      <c r="A1603" t="s">
        <v>747</v>
      </c>
      <c r="B1603" t="s">
        <v>244</v>
      </c>
      <c r="C1603" t="s">
        <v>748</v>
      </c>
      <c r="D1603">
        <v>864373881</v>
      </c>
      <c r="E1603" t="s">
        <v>13</v>
      </c>
      <c r="F1603" s="1">
        <v>45300</v>
      </c>
      <c r="G1603" t="s">
        <v>35</v>
      </c>
      <c r="H1603" s="2">
        <v>1718.97</v>
      </c>
      <c r="I1603" t="s">
        <v>25</v>
      </c>
      <c r="J1603" t="s">
        <v>22</v>
      </c>
      <c r="K1603" t="s">
        <v>12</v>
      </c>
    </row>
    <row r="1604" spans="1:11" x14ac:dyDescent="0.25">
      <c r="A1604" t="s">
        <v>1040</v>
      </c>
      <c r="B1604" t="s">
        <v>276</v>
      </c>
      <c r="C1604" t="s">
        <v>1041</v>
      </c>
      <c r="D1604">
        <v>903785899</v>
      </c>
      <c r="E1604" t="s">
        <v>18</v>
      </c>
      <c r="F1604" s="1">
        <v>45893</v>
      </c>
      <c r="G1604" t="s">
        <v>460</v>
      </c>
      <c r="H1604" s="2">
        <v>995.84</v>
      </c>
      <c r="I1604" t="s">
        <v>25</v>
      </c>
      <c r="J1604" t="s">
        <v>11</v>
      </c>
      <c r="K1604" t="s">
        <v>12</v>
      </c>
    </row>
    <row r="1605" spans="1:11" x14ac:dyDescent="0.25">
      <c r="A1605" t="s">
        <v>434</v>
      </c>
      <c r="B1605" t="s">
        <v>379</v>
      </c>
      <c r="C1605" t="s">
        <v>435</v>
      </c>
      <c r="D1605">
        <v>740994031</v>
      </c>
      <c r="E1605" t="s">
        <v>18</v>
      </c>
      <c r="F1605" s="1">
        <v>45697</v>
      </c>
      <c r="G1605" t="s">
        <v>423</v>
      </c>
      <c r="H1605" s="2">
        <v>1875.77</v>
      </c>
      <c r="I1605" t="s">
        <v>25</v>
      </c>
      <c r="J1605" t="s">
        <v>22</v>
      </c>
      <c r="K1605" t="s">
        <v>12</v>
      </c>
    </row>
    <row r="1606" spans="1:11" x14ac:dyDescent="0.25">
      <c r="A1606" t="s">
        <v>1344</v>
      </c>
      <c r="B1606" t="s">
        <v>249</v>
      </c>
      <c r="C1606" t="s">
        <v>1345</v>
      </c>
      <c r="D1606">
        <v>896166885</v>
      </c>
      <c r="E1606" t="s">
        <v>18</v>
      </c>
      <c r="F1606" s="1">
        <v>45456</v>
      </c>
      <c r="G1606" t="s">
        <v>475</v>
      </c>
      <c r="H1606" s="2">
        <v>500.82</v>
      </c>
      <c r="I1606" t="s">
        <v>25</v>
      </c>
      <c r="J1606" t="s">
        <v>33</v>
      </c>
      <c r="K1606" t="s">
        <v>16</v>
      </c>
    </row>
    <row r="1607" spans="1:11" x14ac:dyDescent="0.25">
      <c r="A1607" t="s">
        <v>808</v>
      </c>
      <c r="B1607" t="s">
        <v>578</v>
      </c>
      <c r="C1607" t="s">
        <v>809</v>
      </c>
      <c r="D1607">
        <v>741558653</v>
      </c>
      <c r="E1607" t="s">
        <v>9</v>
      </c>
      <c r="F1607" s="1">
        <v>45189</v>
      </c>
      <c r="G1607" t="s">
        <v>14</v>
      </c>
      <c r="H1607" s="2">
        <v>518.85</v>
      </c>
      <c r="I1607" t="s">
        <v>25</v>
      </c>
      <c r="J1607" t="s">
        <v>33</v>
      </c>
      <c r="K1607" t="s">
        <v>12</v>
      </c>
    </row>
    <row r="1608" spans="1:11" x14ac:dyDescent="0.25">
      <c r="A1608" t="s">
        <v>1346</v>
      </c>
      <c r="B1608" t="s">
        <v>1347</v>
      </c>
      <c r="C1608" t="s">
        <v>1348</v>
      </c>
      <c r="D1608">
        <v>651807606</v>
      </c>
      <c r="E1608" t="s">
        <v>18</v>
      </c>
      <c r="F1608" s="1">
        <v>45628</v>
      </c>
      <c r="G1608" t="s">
        <v>47</v>
      </c>
      <c r="H1608" s="2">
        <v>1891.31</v>
      </c>
      <c r="I1608" t="s">
        <v>25</v>
      </c>
      <c r="J1608" t="s">
        <v>36</v>
      </c>
      <c r="K1608" t="s">
        <v>16</v>
      </c>
    </row>
    <row r="1609" spans="1:11" x14ac:dyDescent="0.25">
      <c r="A1609" t="s">
        <v>641</v>
      </c>
      <c r="B1609" t="s">
        <v>109</v>
      </c>
      <c r="C1609" t="s">
        <v>642</v>
      </c>
      <c r="D1609">
        <v>725175634</v>
      </c>
      <c r="E1609" t="s">
        <v>9</v>
      </c>
      <c r="F1609" s="1">
        <v>45441</v>
      </c>
      <c r="G1609" t="s">
        <v>418</v>
      </c>
      <c r="H1609" s="2">
        <v>1689.57</v>
      </c>
      <c r="I1609" t="s">
        <v>25</v>
      </c>
      <c r="J1609" t="s">
        <v>22</v>
      </c>
      <c r="K1609" t="s">
        <v>16</v>
      </c>
    </row>
    <row r="1610" spans="1:11" x14ac:dyDescent="0.25">
      <c r="A1610" t="s">
        <v>1253</v>
      </c>
      <c r="B1610" t="s">
        <v>362</v>
      </c>
      <c r="C1610" t="s">
        <v>1254</v>
      </c>
      <c r="D1610">
        <v>726726630</v>
      </c>
      <c r="E1610" t="s">
        <v>9</v>
      </c>
      <c r="F1610" s="1">
        <v>45190</v>
      </c>
      <c r="G1610" t="s">
        <v>443</v>
      </c>
      <c r="H1610" s="2">
        <v>1358.53</v>
      </c>
      <c r="I1610" t="s">
        <v>507</v>
      </c>
      <c r="J1610" t="s">
        <v>15</v>
      </c>
      <c r="K1610" t="s">
        <v>12</v>
      </c>
    </row>
    <row r="1611" spans="1:11" x14ac:dyDescent="0.25">
      <c r="A1611" t="s">
        <v>802</v>
      </c>
      <c r="B1611" t="s">
        <v>174</v>
      </c>
      <c r="C1611" t="s">
        <v>803</v>
      </c>
      <c r="D1611">
        <v>704105492</v>
      </c>
      <c r="E1611" t="s">
        <v>18</v>
      </c>
      <c r="F1611" s="1">
        <v>45551</v>
      </c>
      <c r="G1611" t="s">
        <v>39</v>
      </c>
      <c r="H1611" s="2">
        <v>1510.11</v>
      </c>
      <c r="I1611" t="s">
        <v>25</v>
      </c>
      <c r="J1611" t="s">
        <v>33</v>
      </c>
      <c r="K1611" t="s">
        <v>12</v>
      </c>
    </row>
    <row r="1612" spans="1:11" x14ac:dyDescent="0.25">
      <c r="A1612" t="s">
        <v>1198</v>
      </c>
      <c r="B1612" t="s">
        <v>1199</v>
      </c>
      <c r="C1612" t="s">
        <v>1200</v>
      </c>
      <c r="D1612">
        <v>927530563</v>
      </c>
      <c r="E1612" t="s">
        <v>9</v>
      </c>
      <c r="F1612" s="1">
        <v>45400</v>
      </c>
      <c r="G1612" t="s">
        <v>440</v>
      </c>
      <c r="H1612" s="2">
        <v>605.09</v>
      </c>
      <c r="I1612" t="s">
        <v>25</v>
      </c>
      <c r="J1612" t="s">
        <v>36</v>
      </c>
      <c r="K1612" t="s">
        <v>16</v>
      </c>
    </row>
    <row r="1613" spans="1:11" x14ac:dyDescent="0.25">
      <c r="A1613" t="s">
        <v>1164</v>
      </c>
      <c r="B1613" t="s">
        <v>406</v>
      </c>
      <c r="C1613" t="s">
        <v>1165</v>
      </c>
      <c r="D1613">
        <v>742320022</v>
      </c>
      <c r="E1613" t="s">
        <v>9</v>
      </c>
      <c r="F1613" s="1">
        <v>45814</v>
      </c>
      <c r="G1613" t="s">
        <v>19</v>
      </c>
      <c r="H1613" s="2">
        <v>944.02</v>
      </c>
      <c r="I1613" t="s">
        <v>25</v>
      </c>
      <c r="J1613" t="s">
        <v>33</v>
      </c>
      <c r="K1613" t="s">
        <v>16</v>
      </c>
    </row>
    <row r="1614" spans="1:11" x14ac:dyDescent="0.25">
      <c r="A1614" t="s">
        <v>1301</v>
      </c>
      <c r="B1614" t="s">
        <v>237</v>
      </c>
      <c r="C1614" t="s">
        <v>1302</v>
      </c>
      <c r="D1614">
        <v>742835812</v>
      </c>
      <c r="E1614" t="s">
        <v>9</v>
      </c>
      <c r="F1614" s="1">
        <v>45582</v>
      </c>
      <c r="G1614" t="s">
        <v>14</v>
      </c>
      <c r="H1614" s="2">
        <v>552.13</v>
      </c>
      <c r="I1614" t="s">
        <v>25</v>
      </c>
      <c r="J1614" t="s">
        <v>33</v>
      </c>
      <c r="K1614" t="s">
        <v>16</v>
      </c>
    </row>
    <row r="1615" spans="1:11" x14ac:dyDescent="0.25">
      <c r="A1615" t="s">
        <v>595</v>
      </c>
      <c r="B1615" t="s">
        <v>34</v>
      </c>
      <c r="C1615" t="s">
        <v>596</v>
      </c>
      <c r="D1615">
        <v>745956596</v>
      </c>
      <c r="E1615" t="s">
        <v>9</v>
      </c>
      <c r="F1615" s="1">
        <v>45595</v>
      </c>
      <c r="G1615" t="s">
        <v>24</v>
      </c>
      <c r="H1615" s="2">
        <v>745.1</v>
      </c>
      <c r="I1615" t="s">
        <v>25</v>
      </c>
      <c r="J1615" t="s">
        <v>22</v>
      </c>
      <c r="K1615" t="s">
        <v>16</v>
      </c>
    </row>
    <row r="1616" spans="1:11" x14ac:dyDescent="0.25">
      <c r="A1616" t="s">
        <v>1400</v>
      </c>
      <c r="B1616" t="s">
        <v>65</v>
      </c>
      <c r="C1616" t="s">
        <v>1401</v>
      </c>
      <c r="D1616">
        <v>739254068</v>
      </c>
      <c r="E1616" t="s">
        <v>18</v>
      </c>
      <c r="F1616" s="1">
        <v>45360</v>
      </c>
      <c r="G1616" t="s">
        <v>440</v>
      </c>
      <c r="H1616" s="2">
        <v>883.7</v>
      </c>
      <c r="I1616" t="s">
        <v>25</v>
      </c>
      <c r="J1616" t="s">
        <v>11</v>
      </c>
      <c r="K1616" t="s">
        <v>12</v>
      </c>
    </row>
    <row r="1617" spans="1:11" x14ac:dyDescent="0.25">
      <c r="A1617" t="s">
        <v>1338</v>
      </c>
      <c r="B1617" t="s">
        <v>350</v>
      </c>
      <c r="C1617" t="s">
        <v>1339</v>
      </c>
      <c r="D1617">
        <v>713916093</v>
      </c>
      <c r="E1617" t="s">
        <v>9</v>
      </c>
      <c r="F1617" s="1">
        <v>45724</v>
      </c>
      <c r="G1617" t="s">
        <v>423</v>
      </c>
      <c r="H1617" s="2">
        <v>437.13</v>
      </c>
      <c r="I1617" t="s">
        <v>25</v>
      </c>
      <c r="J1617" t="s">
        <v>33</v>
      </c>
      <c r="K1617" t="s">
        <v>12</v>
      </c>
    </row>
    <row r="1618" spans="1:11" x14ac:dyDescent="0.25">
      <c r="A1618" t="s">
        <v>879</v>
      </c>
      <c r="B1618" t="s">
        <v>358</v>
      </c>
      <c r="C1618" t="s">
        <v>880</v>
      </c>
      <c r="D1618">
        <v>690754330</v>
      </c>
      <c r="E1618" t="s">
        <v>9</v>
      </c>
      <c r="F1618" s="1">
        <v>45600</v>
      </c>
      <c r="G1618" t="s">
        <v>423</v>
      </c>
      <c r="H1618" s="2">
        <v>1373.17</v>
      </c>
      <c r="I1618" t="s">
        <v>507</v>
      </c>
      <c r="J1618" t="s">
        <v>11</v>
      </c>
      <c r="K1618" t="s">
        <v>12</v>
      </c>
    </row>
    <row r="1619" spans="1:11" x14ac:dyDescent="0.25">
      <c r="A1619" t="s">
        <v>1172</v>
      </c>
      <c r="B1619" t="s">
        <v>163</v>
      </c>
      <c r="C1619" t="s">
        <v>1173</v>
      </c>
      <c r="D1619">
        <v>960053641</v>
      </c>
      <c r="E1619" t="s">
        <v>13</v>
      </c>
      <c r="F1619" s="1">
        <v>45660</v>
      </c>
      <c r="G1619" t="s">
        <v>440</v>
      </c>
      <c r="H1619" s="2">
        <v>1158.6400000000001</v>
      </c>
      <c r="I1619" t="s">
        <v>25</v>
      </c>
      <c r="J1619" t="s">
        <v>11</v>
      </c>
      <c r="K1619" t="s">
        <v>12</v>
      </c>
    </row>
    <row r="1620" spans="1:11" x14ac:dyDescent="0.25">
      <c r="A1620" t="s">
        <v>484</v>
      </c>
      <c r="B1620" t="s">
        <v>111</v>
      </c>
      <c r="C1620" t="s">
        <v>485</v>
      </c>
      <c r="D1620">
        <v>826663368</v>
      </c>
      <c r="E1620" t="s">
        <v>18</v>
      </c>
      <c r="F1620" s="1">
        <v>45421</v>
      </c>
      <c r="G1620" t="s">
        <v>415</v>
      </c>
      <c r="H1620" s="2">
        <v>1052.1400000000001</v>
      </c>
      <c r="I1620" t="s">
        <v>25</v>
      </c>
      <c r="J1620" t="s">
        <v>36</v>
      </c>
      <c r="K1620" t="s">
        <v>12</v>
      </c>
    </row>
    <row r="1621" spans="1:11" x14ac:dyDescent="0.25">
      <c r="A1621" t="s">
        <v>610</v>
      </c>
      <c r="B1621" t="s">
        <v>385</v>
      </c>
      <c r="C1621" t="s">
        <v>611</v>
      </c>
      <c r="D1621">
        <v>709840779</v>
      </c>
      <c r="E1621" t="s">
        <v>13</v>
      </c>
      <c r="F1621" s="1">
        <v>45714</v>
      </c>
      <c r="G1621" t="s">
        <v>14</v>
      </c>
      <c r="H1621" s="2">
        <v>865.7</v>
      </c>
      <c r="I1621" t="s">
        <v>25</v>
      </c>
      <c r="J1621" t="s">
        <v>22</v>
      </c>
      <c r="K1621" t="s">
        <v>12</v>
      </c>
    </row>
    <row r="1622" spans="1:11" x14ac:dyDescent="0.25">
      <c r="A1622" t="s">
        <v>943</v>
      </c>
      <c r="B1622" t="s">
        <v>251</v>
      </c>
      <c r="C1622" t="s">
        <v>944</v>
      </c>
      <c r="D1622">
        <v>740348016</v>
      </c>
      <c r="E1622" t="s">
        <v>9</v>
      </c>
      <c r="F1622" s="1">
        <v>45727</v>
      </c>
      <c r="G1622" t="s">
        <v>19</v>
      </c>
      <c r="H1622" s="2">
        <v>993.73</v>
      </c>
      <c r="I1622" t="s">
        <v>25</v>
      </c>
      <c r="J1622" t="s">
        <v>22</v>
      </c>
      <c r="K1622" t="s">
        <v>12</v>
      </c>
    </row>
    <row r="1623" spans="1:11" x14ac:dyDescent="0.25">
      <c r="A1623" t="s">
        <v>1297</v>
      </c>
      <c r="B1623" t="s">
        <v>247</v>
      </c>
      <c r="C1623" t="s">
        <v>1298</v>
      </c>
      <c r="D1623">
        <v>937405090</v>
      </c>
      <c r="E1623" t="s">
        <v>13</v>
      </c>
      <c r="F1623" s="1">
        <v>45598</v>
      </c>
      <c r="G1623" t="s">
        <v>460</v>
      </c>
      <c r="H1623" s="2">
        <v>1391.89</v>
      </c>
      <c r="I1623" t="s">
        <v>25</v>
      </c>
      <c r="J1623" t="s">
        <v>33</v>
      </c>
      <c r="K1623" t="s">
        <v>16</v>
      </c>
    </row>
    <row r="1624" spans="1:11" x14ac:dyDescent="0.25">
      <c r="A1624" t="s">
        <v>966</v>
      </c>
      <c r="B1624" t="s">
        <v>129</v>
      </c>
      <c r="C1624" t="s">
        <v>967</v>
      </c>
      <c r="D1624">
        <v>738722817</v>
      </c>
      <c r="E1624" t="s">
        <v>9</v>
      </c>
      <c r="F1624" s="1">
        <v>45427</v>
      </c>
      <c r="G1624" t="s">
        <v>624</v>
      </c>
      <c r="H1624" s="2">
        <v>385.55</v>
      </c>
      <c r="I1624" t="s">
        <v>25</v>
      </c>
      <c r="J1624" t="s">
        <v>33</v>
      </c>
      <c r="K1624" t="s">
        <v>12</v>
      </c>
    </row>
    <row r="1625" spans="1:11" x14ac:dyDescent="0.25">
      <c r="A1625" t="s">
        <v>949</v>
      </c>
      <c r="B1625" t="s">
        <v>182</v>
      </c>
      <c r="C1625" t="s">
        <v>950</v>
      </c>
      <c r="D1625">
        <v>741931466</v>
      </c>
      <c r="E1625" t="s">
        <v>18</v>
      </c>
      <c r="F1625" s="1">
        <v>45686</v>
      </c>
      <c r="G1625" t="s">
        <v>440</v>
      </c>
      <c r="H1625" s="2">
        <v>133.4</v>
      </c>
      <c r="I1625" t="s">
        <v>25</v>
      </c>
      <c r="J1625" t="s">
        <v>11</v>
      </c>
      <c r="K1625" t="s">
        <v>16</v>
      </c>
    </row>
    <row r="1626" spans="1:11" x14ac:dyDescent="0.25">
      <c r="A1626" t="s">
        <v>729</v>
      </c>
      <c r="B1626" t="s">
        <v>119</v>
      </c>
      <c r="C1626" t="s">
        <v>730</v>
      </c>
      <c r="D1626">
        <v>745350274</v>
      </c>
      <c r="E1626" t="s">
        <v>18</v>
      </c>
      <c r="F1626" s="1">
        <v>45311</v>
      </c>
      <c r="G1626" t="s">
        <v>47</v>
      </c>
      <c r="H1626" s="2">
        <v>1388.99</v>
      </c>
      <c r="I1626" t="s">
        <v>25</v>
      </c>
      <c r="J1626" t="s">
        <v>36</v>
      </c>
      <c r="K1626" t="s">
        <v>16</v>
      </c>
    </row>
    <row r="1627" spans="1:11" x14ac:dyDescent="0.25">
      <c r="A1627" t="s">
        <v>1239</v>
      </c>
      <c r="B1627" t="s">
        <v>201</v>
      </c>
      <c r="C1627" t="s">
        <v>1240</v>
      </c>
      <c r="D1627">
        <v>715969206</v>
      </c>
      <c r="E1627" t="s">
        <v>18</v>
      </c>
      <c r="F1627" s="1">
        <v>45227</v>
      </c>
      <c r="G1627" t="s">
        <v>415</v>
      </c>
      <c r="H1627" s="2">
        <v>428.24</v>
      </c>
      <c r="I1627" t="s">
        <v>25</v>
      </c>
      <c r="J1627" t="s">
        <v>36</v>
      </c>
      <c r="K1627" t="s">
        <v>16</v>
      </c>
    </row>
    <row r="1628" spans="1:11" x14ac:dyDescent="0.25">
      <c r="A1628" t="s">
        <v>1346</v>
      </c>
      <c r="B1628" t="s">
        <v>1347</v>
      </c>
      <c r="C1628" t="s">
        <v>1348</v>
      </c>
      <c r="D1628">
        <v>651807606</v>
      </c>
      <c r="E1628" t="s">
        <v>18</v>
      </c>
      <c r="F1628" s="1">
        <v>45398</v>
      </c>
      <c r="G1628" t="s">
        <v>47</v>
      </c>
      <c r="H1628" s="2">
        <v>1264.96</v>
      </c>
      <c r="I1628" t="s">
        <v>25</v>
      </c>
      <c r="J1628" t="s">
        <v>11</v>
      </c>
      <c r="K1628" t="s">
        <v>16</v>
      </c>
    </row>
    <row r="1629" spans="1:11" x14ac:dyDescent="0.25">
      <c r="A1629" t="s">
        <v>664</v>
      </c>
      <c r="B1629" t="s">
        <v>80</v>
      </c>
      <c r="C1629" t="s">
        <v>665</v>
      </c>
      <c r="D1629">
        <v>622023254</v>
      </c>
      <c r="E1629" t="s">
        <v>9</v>
      </c>
      <c r="F1629" s="1">
        <v>45333</v>
      </c>
      <c r="G1629" t="s">
        <v>32</v>
      </c>
      <c r="H1629" s="2">
        <v>1353.84</v>
      </c>
      <c r="I1629" t="s">
        <v>25</v>
      </c>
      <c r="J1629" t="s">
        <v>26</v>
      </c>
      <c r="K1629" t="s">
        <v>16</v>
      </c>
    </row>
    <row r="1630" spans="1:11" x14ac:dyDescent="0.25">
      <c r="A1630" t="s">
        <v>432</v>
      </c>
      <c r="B1630" t="s">
        <v>254</v>
      </c>
      <c r="C1630" t="s">
        <v>433</v>
      </c>
      <c r="D1630">
        <v>735998025</v>
      </c>
      <c r="E1630" t="s">
        <v>9</v>
      </c>
      <c r="F1630" s="1">
        <v>45557</v>
      </c>
      <c r="G1630" t="s">
        <v>10</v>
      </c>
      <c r="H1630" s="2">
        <v>228.88</v>
      </c>
      <c r="I1630" t="s">
        <v>25</v>
      </c>
      <c r="J1630" t="s">
        <v>22</v>
      </c>
      <c r="K1630" t="s">
        <v>12</v>
      </c>
    </row>
    <row r="1631" spans="1:11" x14ac:dyDescent="0.25">
      <c r="A1631" t="s">
        <v>641</v>
      </c>
      <c r="B1631" t="s">
        <v>109</v>
      </c>
      <c r="C1631" t="s">
        <v>642</v>
      </c>
      <c r="D1631">
        <v>725175634</v>
      </c>
      <c r="E1631" t="s">
        <v>9</v>
      </c>
      <c r="F1631" s="1">
        <v>45411</v>
      </c>
      <c r="G1631" t="s">
        <v>418</v>
      </c>
      <c r="H1631" s="2">
        <v>1413.3</v>
      </c>
      <c r="I1631" t="s">
        <v>444</v>
      </c>
      <c r="J1631" t="s">
        <v>22</v>
      </c>
      <c r="K1631" t="s">
        <v>16</v>
      </c>
    </row>
    <row r="1632" spans="1:11" x14ac:dyDescent="0.25">
      <c r="A1632" t="s">
        <v>1428</v>
      </c>
      <c r="B1632" t="s">
        <v>407</v>
      </c>
      <c r="C1632" t="s">
        <v>1429</v>
      </c>
      <c r="D1632">
        <v>983839916</v>
      </c>
      <c r="E1632" t="s">
        <v>18</v>
      </c>
      <c r="F1632" s="1">
        <v>45900</v>
      </c>
      <c r="G1632" t="s">
        <v>24</v>
      </c>
      <c r="H1632" s="2">
        <v>1075.27</v>
      </c>
      <c r="I1632" t="s">
        <v>25</v>
      </c>
      <c r="J1632" t="s">
        <v>11</v>
      </c>
      <c r="K1632" t="s">
        <v>16</v>
      </c>
    </row>
    <row r="1633" spans="1:11" x14ac:dyDescent="0.25">
      <c r="A1633" t="s">
        <v>1070</v>
      </c>
      <c r="B1633" t="s">
        <v>383</v>
      </c>
      <c r="C1633" t="s">
        <v>1071</v>
      </c>
      <c r="D1633">
        <v>746264285</v>
      </c>
      <c r="E1633" t="s">
        <v>9</v>
      </c>
      <c r="F1633" s="1">
        <v>45555</v>
      </c>
      <c r="G1633" t="s">
        <v>47</v>
      </c>
      <c r="H1633" s="2">
        <v>1566.32</v>
      </c>
      <c r="I1633" t="s">
        <v>25</v>
      </c>
      <c r="J1633" t="s">
        <v>22</v>
      </c>
      <c r="K1633" t="s">
        <v>12</v>
      </c>
    </row>
    <row r="1634" spans="1:11" x14ac:dyDescent="0.25">
      <c r="A1634" t="s">
        <v>549</v>
      </c>
      <c r="B1634" t="s">
        <v>183</v>
      </c>
      <c r="C1634" t="s">
        <v>550</v>
      </c>
      <c r="D1634">
        <v>948373777</v>
      </c>
      <c r="E1634" t="s">
        <v>9</v>
      </c>
      <c r="F1634" s="1">
        <v>45298</v>
      </c>
      <c r="G1634" t="s">
        <v>506</v>
      </c>
      <c r="H1634" s="2">
        <v>538.07000000000005</v>
      </c>
      <c r="I1634" t="s">
        <v>25</v>
      </c>
      <c r="J1634" t="s">
        <v>26</v>
      </c>
      <c r="K1634" t="s">
        <v>12</v>
      </c>
    </row>
    <row r="1635" spans="1:11" x14ac:dyDescent="0.25">
      <c r="A1635" t="s">
        <v>752</v>
      </c>
      <c r="B1635" t="s">
        <v>340</v>
      </c>
      <c r="C1635" t="s">
        <v>753</v>
      </c>
      <c r="D1635">
        <v>723183453</v>
      </c>
      <c r="E1635" t="s">
        <v>13</v>
      </c>
      <c r="F1635" s="1">
        <v>45487</v>
      </c>
      <c r="G1635" t="s">
        <v>460</v>
      </c>
      <c r="H1635" s="2">
        <v>1628.42</v>
      </c>
      <c r="I1635" t="s">
        <v>25</v>
      </c>
      <c r="J1635" t="s">
        <v>11</v>
      </c>
      <c r="K1635" t="s">
        <v>16</v>
      </c>
    </row>
    <row r="1636" spans="1:11" x14ac:dyDescent="0.25">
      <c r="A1636" t="s">
        <v>1106</v>
      </c>
      <c r="B1636" t="s">
        <v>144</v>
      </c>
      <c r="C1636" t="s">
        <v>1107</v>
      </c>
      <c r="D1636">
        <v>720043779</v>
      </c>
      <c r="E1636" t="s">
        <v>9</v>
      </c>
      <c r="F1636" s="1">
        <v>45827</v>
      </c>
      <c r="G1636" t="s">
        <v>451</v>
      </c>
      <c r="H1636" s="2">
        <v>1426.95</v>
      </c>
      <c r="I1636" t="s">
        <v>25</v>
      </c>
      <c r="J1636" t="s">
        <v>22</v>
      </c>
      <c r="K1636" t="s">
        <v>16</v>
      </c>
    </row>
    <row r="1637" spans="1:11" x14ac:dyDescent="0.25">
      <c r="A1637" t="s">
        <v>683</v>
      </c>
      <c r="B1637" t="s">
        <v>142</v>
      </c>
      <c r="C1637" t="s">
        <v>684</v>
      </c>
      <c r="D1637">
        <v>722621294</v>
      </c>
      <c r="E1637" t="s">
        <v>9</v>
      </c>
      <c r="F1637" s="1">
        <v>45330</v>
      </c>
      <c r="G1637" t="s">
        <v>418</v>
      </c>
      <c r="H1637" s="2">
        <v>965.36</v>
      </c>
      <c r="I1637" t="s">
        <v>444</v>
      </c>
      <c r="J1637" t="s">
        <v>22</v>
      </c>
      <c r="K1637" t="s">
        <v>12</v>
      </c>
    </row>
    <row r="1638" spans="1:11" x14ac:dyDescent="0.25">
      <c r="A1638" t="s">
        <v>776</v>
      </c>
      <c r="B1638" t="s">
        <v>200</v>
      </c>
      <c r="C1638" t="s">
        <v>777</v>
      </c>
      <c r="D1638">
        <v>727278182</v>
      </c>
      <c r="E1638" t="s">
        <v>9</v>
      </c>
      <c r="F1638" s="1">
        <v>45420</v>
      </c>
      <c r="G1638" t="s">
        <v>603</v>
      </c>
      <c r="H1638" s="2">
        <v>1823.77</v>
      </c>
      <c r="I1638" t="s">
        <v>25</v>
      </c>
      <c r="J1638" t="s">
        <v>26</v>
      </c>
      <c r="K1638" t="s">
        <v>12</v>
      </c>
    </row>
    <row r="1639" spans="1:11" x14ac:dyDescent="0.25">
      <c r="A1639" t="s">
        <v>798</v>
      </c>
      <c r="B1639" t="s">
        <v>52</v>
      </c>
      <c r="C1639" t="s">
        <v>799</v>
      </c>
      <c r="D1639">
        <v>913421545</v>
      </c>
      <c r="E1639" t="s">
        <v>18</v>
      </c>
      <c r="F1639" s="1">
        <v>45426</v>
      </c>
      <c r="G1639" t="s">
        <v>29</v>
      </c>
      <c r="H1639" s="2">
        <v>588.57000000000005</v>
      </c>
      <c r="I1639" t="s">
        <v>25</v>
      </c>
      <c r="J1639" t="s">
        <v>36</v>
      </c>
      <c r="K1639" t="s">
        <v>16</v>
      </c>
    </row>
    <row r="1640" spans="1:11" x14ac:dyDescent="0.25">
      <c r="A1640" t="s">
        <v>677</v>
      </c>
      <c r="B1640" t="s">
        <v>161</v>
      </c>
      <c r="C1640" t="s">
        <v>678</v>
      </c>
      <c r="D1640">
        <v>911729847</v>
      </c>
      <c r="E1640" t="s">
        <v>18</v>
      </c>
      <c r="F1640" s="1">
        <v>45244</v>
      </c>
      <c r="G1640" t="s">
        <v>624</v>
      </c>
      <c r="H1640" s="2">
        <v>1968.1</v>
      </c>
      <c r="I1640" t="s">
        <v>25</v>
      </c>
      <c r="J1640" t="s">
        <v>11</v>
      </c>
      <c r="K1640" t="s">
        <v>12</v>
      </c>
    </row>
    <row r="1641" spans="1:11" x14ac:dyDescent="0.25">
      <c r="A1641" t="s">
        <v>749</v>
      </c>
      <c r="B1641" t="s">
        <v>750</v>
      </c>
      <c r="C1641" t="s">
        <v>751</v>
      </c>
      <c r="D1641">
        <v>703436635</v>
      </c>
      <c r="E1641" t="s">
        <v>9</v>
      </c>
      <c r="F1641" s="1">
        <v>45881</v>
      </c>
      <c r="G1641" t="s">
        <v>506</v>
      </c>
      <c r="H1641" s="2">
        <v>1746.33</v>
      </c>
      <c r="I1641" t="s">
        <v>25</v>
      </c>
      <c r="J1641" t="s">
        <v>22</v>
      </c>
      <c r="K1641" t="s">
        <v>16</v>
      </c>
    </row>
    <row r="1642" spans="1:11" x14ac:dyDescent="0.25">
      <c r="A1642" t="s">
        <v>1040</v>
      </c>
      <c r="B1642" t="s">
        <v>276</v>
      </c>
      <c r="C1642" t="s">
        <v>1041</v>
      </c>
      <c r="D1642">
        <v>903785899</v>
      </c>
      <c r="E1642" t="s">
        <v>18</v>
      </c>
      <c r="F1642" s="1">
        <v>45808</v>
      </c>
      <c r="G1642" t="s">
        <v>460</v>
      </c>
      <c r="H1642" s="2">
        <v>724.36</v>
      </c>
      <c r="I1642" t="s">
        <v>25</v>
      </c>
      <c r="J1642" t="s">
        <v>11</v>
      </c>
      <c r="K1642" t="s">
        <v>12</v>
      </c>
    </row>
    <row r="1643" spans="1:11" x14ac:dyDescent="0.25">
      <c r="A1643" t="s">
        <v>1207</v>
      </c>
      <c r="B1643" t="s">
        <v>243</v>
      </c>
      <c r="C1643" t="s">
        <v>1208</v>
      </c>
      <c r="D1643">
        <v>809355979</v>
      </c>
      <c r="E1643" t="s">
        <v>9</v>
      </c>
      <c r="F1643" s="1">
        <v>45778</v>
      </c>
      <c r="G1643" t="s">
        <v>14</v>
      </c>
      <c r="H1643" s="2">
        <v>891.02</v>
      </c>
      <c r="I1643" t="s">
        <v>444</v>
      </c>
      <c r="J1643" t="s">
        <v>33</v>
      </c>
      <c r="K1643" t="s">
        <v>12</v>
      </c>
    </row>
    <row r="1644" spans="1:11" x14ac:dyDescent="0.25">
      <c r="A1644" t="s">
        <v>891</v>
      </c>
      <c r="B1644" t="s">
        <v>892</v>
      </c>
      <c r="C1644" t="s">
        <v>893</v>
      </c>
      <c r="D1644">
        <v>644562274</v>
      </c>
      <c r="E1644" t="s">
        <v>9</v>
      </c>
      <c r="F1644" s="1">
        <v>45310</v>
      </c>
      <c r="G1644" t="s">
        <v>415</v>
      </c>
      <c r="H1644" s="2">
        <v>1233.8699999999999</v>
      </c>
      <c r="I1644" t="s">
        <v>25</v>
      </c>
      <c r="J1644" t="s">
        <v>33</v>
      </c>
      <c r="K1644" t="s">
        <v>16</v>
      </c>
    </row>
    <row r="1645" spans="1:11" x14ac:dyDescent="0.25">
      <c r="A1645" t="s">
        <v>1461</v>
      </c>
      <c r="B1645" t="s">
        <v>324</v>
      </c>
      <c r="C1645" t="s">
        <v>1462</v>
      </c>
      <c r="D1645">
        <v>746674783</v>
      </c>
      <c r="E1645" t="s">
        <v>9</v>
      </c>
      <c r="F1645" s="1">
        <v>45698</v>
      </c>
      <c r="G1645" t="s">
        <v>415</v>
      </c>
      <c r="H1645" s="2">
        <v>1958.59</v>
      </c>
      <c r="I1645" t="s">
        <v>25</v>
      </c>
      <c r="J1645" t="s">
        <v>22</v>
      </c>
      <c r="K1645" t="s">
        <v>16</v>
      </c>
    </row>
    <row r="1646" spans="1:11" x14ac:dyDescent="0.25">
      <c r="A1646" t="s">
        <v>913</v>
      </c>
      <c r="B1646" t="s">
        <v>104</v>
      </c>
      <c r="C1646" t="s">
        <v>914</v>
      </c>
      <c r="D1646">
        <v>725307458</v>
      </c>
      <c r="E1646" t="s">
        <v>9</v>
      </c>
      <c r="F1646" s="1">
        <v>45755</v>
      </c>
      <c r="G1646" t="s">
        <v>478</v>
      </c>
      <c r="H1646" s="2">
        <v>1474.99</v>
      </c>
      <c r="I1646" t="s">
        <v>25</v>
      </c>
      <c r="J1646" t="s">
        <v>33</v>
      </c>
      <c r="K1646" t="s">
        <v>16</v>
      </c>
    </row>
    <row r="1647" spans="1:11" x14ac:dyDescent="0.25">
      <c r="A1647" t="s">
        <v>1072</v>
      </c>
      <c r="B1647" t="s">
        <v>215</v>
      </c>
      <c r="C1647" t="s">
        <v>1073</v>
      </c>
      <c r="D1647">
        <v>729651240</v>
      </c>
      <c r="E1647" t="s">
        <v>9</v>
      </c>
      <c r="F1647" s="1">
        <v>45788</v>
      </c>
      <c r="G1647" t="s">
        <v>460</v>
      </c>
      <c r="H1647" s="2">
        <v>1984.15</v>
      </c>
      <c r="I1647" t="s">
        <v>507</v>
      </c>
      <c r="J1647" t="s">
        <v>33</v>
      </c>
      <c r="K1647" t="s">
        <v>16</v>
      </c>
    </row>
    <row r="1648" spans="1:11" x14ac:dyDescent="0.25">
      <c r="A1648" t="s">
        <v>597</v>
      </c>
      <c r="B1648" t="s">
        <v>171</v>
      </c>
      <c r="C1648" t="s">
        <v>598</v>
      </c>
      <c r="D1648">
        <v>733027275</v>
      </c>
      <c r="E1648" t="s">
        <v>18</v>
      </c>
      <c r="F1648" s="1">
        <v>45225</v>
      </c>
      <c r="G1648" t="s">
        <v>19</v>
      </c>
      <c r="H1648" s="2">
        <v>1628.01</v>
      </c>
      <c r="I1648" t="s">
        <v>507</v>
      </c>
      <c r="J1648" t="s">
        <v>36</v>
      </c>
      <c r="K1648" t="s">
        <v>12</v>
      </c>
    </row>
    <row r="1649" spans="1:11" x14ac:dyDescent="0.25">
      <c r="A1649" t="s">
        <v>1408</v>
      </c>
      <c r="B1649" t="s">
        <v>325</v>
      </c>
      <c r="C1649" t="s">
        <v>1409</v>
      </c>
      <c r="D1649">
        <v>879657385</v>
      </c>
      <c r="E1649" t="s">
        <v>9</v>
      </c>
      <c r="F1649" s="1">
        <v>45303</v>
      </c>
      <c r="G1649" t="s">
        <v>39</v>
      </c>
      <c r="H1649" s="2">
        <v>1646.91</v>
      </c>
      <c r="I1649" t="s">
        <v>25</v>
      </c>
      <c r="J1649" t="s">
        <v>22</v>
      </c>
      <c r="K1649" t="s">
        <v>16</v>
      </c>
    </row>
    <row r="1650" spans="1:11" x14ac:dyDescent="0.25">
      <c r="A1650" t="s">
        <v>1521</v>
      </c>
      <c r="B1650" t="s">
        <v>136</v>
      </c>
      <c r="C1650" t="s">
        <v>1522</v>
      </c>
      <c r="D1650">
        <v>724379169</v>
      </c>
      <c r="E1650" t="s">
        <v>18</v>
      </c>
      <c r="F1650" s="1">
        <v>45705</v>
      </c>
      <c r="G1650" t="s">
        <v>506</v>
      </c>
      <c r="H1650" s="2">
        <v>436.79</v>
      </c>
      <c r="I1650" t="s">
        <v>25</v>
      </c>
      <c r="J1650" t="s">
        <v>36</v>
      </c>
      <c r="K1650" t="s">
        <v>12</v>
      </c>
    </row>
    <row r="1651" spans="1:11" x14ac:dyDescent="0.25">
      <c r="A1651" t="s">
        <v>1338</v>
      </c>
      <c r="B1651" t="s">
        <v>350</v>
      </c>
      <c r="C1651" t="s">
        <v>1339</v>
      </c>
      <c r="D1651">
        <v>713916093</v>
      </c>
      <c r="E1651" t="s">
        <v>9</v>
      </c>
      <c r="F1651" s="1">
        <v>45401</v>
      </c>
      <c r="G1651" t="s">
        <v>423</v>
      </c>
      <c r="H1651" s="2">
        <v>1325.32</v>
      </c>
      <c r="I1651" t="s">
        <v>25</v>
      </c>
      <c r="J1651" t="s">
        <v>33</v>
      </c>
      <c r="K1651" t="s">
        <v>16</v>
      </c>
    </row>
    <row r="1652" spans="1:11" x14ac:dyDescent="0.25">
      <c r="A1652" t="s">
        <v>1157</v>
      </c>
      <c r="B1652" t="s">
        <v>334</v>
      </c>
      <c r="C1652" t="s">
        <v>1158</v>
      </c>
      <c r="D1652">
        <v>646104560</v>
      </c>
      <c r="E1652" t="s">
        <v>9</v>
      </c>
      <c r="F1652" s="1">
        <v>45310</v>
      </c>
      <c r="G1652" t="s">
        <v>24</v>
      </c>
      <c r="H1652" s="2">
        <v>307.7</v>
      </c>
      <c r="I1652" t="s">
        <v>25</v>
      </c>
      <c r="J1652" t="s">
        <v>33</v>
      </c>
      <c r="K1652" t="s">
        <v>16</v>
      </c>
    </row>
    <row r="1653" spans="1:11" x14ac:dyDescent="0.25">
      <c r="A1653" t="s">
        <v>441</v>
      </c>
      <c r="B1653" t="s">
        <v>55</v>
      </c>
      <c r="C1653" t="s">
        <v>442</v>
      </c>
      <c r="D1653">
        <v>667768968</v>
      </c>
      <c r="E1653" t="s">
        <v>9</v>
      </c>
      <c r="F1653" s="1">
        <v>45866</v>
      </c>
      <c r="G1653" t="s">
        <v>443</v>
      </c>
      <c r="H1653" s="2">
        <v>791.37</v>
      </c>
      <c r="I1653" t="s">
        <v>25</v>
      </c>
      <c r="J1653" t="s">
        <v>26</v>
      </c>
      <c r="K1653" t="s">
        <v>16</v>
      </c>
    </row>
    <row r="1654" spans="1:11" x14ac:dyDescent="0.25">
      <c r="A1654" t="s">
        <v>1482</v>
      </c>
      <c r="B1654" t="s">
        <v>42</v>
      </c>
      <c r="C1654" t="s">
        <v>1483</v>
      </c>
      <c r="D1654">
        <v>717884174</v>
      </c>
      <c r="E1654" t="s">
        <v>9</v>
      </c>
      <c r="F1654" s="1">
        <v>45401</v>
      </c>
      <c r="G1654" t="s">
        <v>506</v>
      </c>
      <c r="H1654" s="2">
        <v>235.83</v>
      </c>
      <c r="I1654" t="s">
        <v>25</v>
      </c>
      <c r="J1654" t="s">
        <v>11</v>
      </c>
      <c r="K1654" t="s">
        <v>12</v>
      </c>
    </row>
    <row r="1655" spans="1:11" x14ac:dyDescent="0.25">
      <c r="A1655" t="s">
        <v>891</v>
      </c>
      <c r="B1655" t="s">
        <v>892</v>
      </c>
      <c r="C1655" t="s">
        <v>893</v>
      </c>
      <c r="D1655">
        <v>644562274</v>
      </c>
      <c r="E1655" t="s">
        <v>9</v>
      </c>
      <c r="F1655" s="1">
        <v>45583</v>
      </c>
      <c r="G1655" t="s">
        <v>415</v>
      </c>
      <c r="H1655" s="2">
        <v>1412.56</v>
      </c>
      <c r="I1655" t="s">
        <v>25</v>
      </c>
      <c r="J1655" t="s">
        <v>33</v>
      </c>
      <c r="K1655" t="s">
        <v>16</v>
      </c>
    </row>
    <row r="1656" spans="1:11" x14ac:dyDescent="0.25">
      <c r="A1656" t="s">
        <v>1048</v>
      </c>
      <c r="B1656" t="s">
        <v>133</v>
      </c>
      <c r="C1656" t="s">
        <v>1049</v>
      </c>
      <c r="D1656">
        <v>730098459</v>
      </c>
      <c r="E1656" t="s">
        <v>9</v>
      </c>
      <c r="F1656" s="1">
        <v>45853</v>
      </c>
      <c r="G1656" t="s">
        <v>47</v>
      </c>
      <c r="H1656" s="2">
        <v>1129.92</v>
      </c>
      <c r="I1656" t="s">
        <v>25</v>
      </c>
      <c r="J1656" t="s">
        <v>33</v>
      </c>
      <c r="K1656" t="s">
        <v>16</v>
      </c>
    </row>
    <row r="1657" spans="1:11" x14ac:dyDescent="0.25">
      <c r="A1657" t="s">
        <v>1076</v>
      </c>
      <c r="B1657" t="s">
        <v>87</v>
      </c>
      <c r="C1657" t="s">
        <v>1077</v>
      </c>
      <c r="D1657">
        <v>996771143</v>
      </c>
      <c r="E1657" t="s">
        <v>9</v>
      </c>
      <c r="F1657" s="1">
        <v>45518</v>
      </c>
      <c r="G1657" t="s">
        <v>14</v>
      </c>
      <c r="H1657" s="2">
        <v>1859.66</v>
      </c>
      <c r="I1657" t="s">
        <v>25</v>
      </c>
      <c r="J1657" t="s">
        <v>22</v>
      </c>
      <c r="K1657" t="s">
        <v>16</v>
      </c>
    </row>
    <row r="1658" spans="1:11" x14ac:dyDescent="0.25">
      <c r="A1658" t="s">
        <v>765</v>
      </c>
      <c r="B1658" t="s">
        <v>248</v>
      </c>
      <c r="C1658" t="s">
        <v>766</v>
      </c>
      <c r="D1658">
        <v>745695976</v>
      </c>
      <c r="E1658" t="s">
        <v>9</v>
      </c>
      <c r="F1658" s="1">
        <v>45858</v>
      </c>
      <c r="G1658" t="s">
        <v>412</v>
      </c>
      <c r="H1658" s="2">
        <v>329.73</v>
      </c>
      <c r="I1658" t="s">
        <v>25</v>
      </c>
      <c r="J1658" t="s">
        <v>33</v>
      </c>
      <c r="K1658" t="s">
        <v>12</v>
      </c>
    </row>
    <row r="1659" spans="1:11" x14ac:dyDescent="0.25">
      <c r="A1659" t="s">
        <v>833</v>
      </c>
      <c r="B1659" t="s">
        <v>314</v>
      </c>
      <c r="C1659" t="s">
        <v>834</v>
      </c>
      <c r="D1659">
        <v>710390333</v>
      </c>
      <c r="E1659" t="s">
        <v>18</v>
      </c>
      <c r="F1659" s="1">
        <v>45844</v>
      </c>
      <c r="G1659" t="s">
        <v>10</v>
      </c>
      <c r="H1659" s="2">
        <v>854.28</v>
      </c>
      <c r="I1659" t="s">
        <v>25</v>
      </c>
      <c r="J1659" t="s">
        <v>11</v>
      </c>
      <c r="K1659" t="s">
        <v>16</v>
      </c>
    </row>
    <row r="1660" spans="1:11" x14ac:dyDescent="0.25">
      <c r="A1660" t="s">
        <v>589</v>
      </c>
      <c r="B1660" t="s">
        <v>70</v>
      </c>
      <c r="C1660" t="s">
        <v>590</v>
      </c>
      <c r="D1660">
        <v>816160530</v>
      </c>
      <c r="E1660" t="s">
        <v>18</v>
      </c>
      <c r="F1660" s="1">
        <v>45359</v>
      </c>
      <c r="G1660" t="s">
        <v>24</v>
      </c>
      <c r="H1660" s="2">
        <v>758.9</v>
      </c>
      <c r="I1660" t="s">
        <v>25</v>
      </c>
      <c r="J1660" t="s">
        <v>11</v>
      </c>
      <c r="K1660" t="s">
        <v>16</v>
      </c>
    </row>
    <row r="1661" spans="1:11" x14ac:dyDescent="0.25">
      <c r="A1661" t="s">
        <v>1523</v>
      </c>
      <c r="B1661" t="s">
        <v>317</v>
      </c>
      <c r="C1661" t="s">
        <v>1524</v>
      </c>
      <c r="D1661">
        <v>730400662</v>
      </c>
      <c r="E1661" t="s">
        <v>9</v>
      </c>
      <c r="F1661" s="1">
        <v>45715</v>
      </c>
      <c r="G1661" t="s">
        <v>32</v>
      </c>
      <c r="H1661" s="2">
        <v>1415.52</v>
      </c>
      <c r="I1661" t="s">
        <v>25</v>
      </c>
      <c r="J1661" t="s">
        <v>36</v>
      </c>
      <c r="K1661" t="s">
        <v>12</v>
      </c>
    </row>
    <row r="1662" spans="1:11" x14ac:dyDescent="0.25">
      <c r="A1662" t="s">
        <v>760</v>
      </c>
      <c r="B1662" t="s">
        <v>761</v>
      </c>
      <c r="C1662" t="s">
        <v>762</v>
      </c>
      <c r="D1662">
        <v>693949039</v>
      </c>
      <c r="E1662" t="s">
        <v>9</v>
      </c>
      <c r="F1662" s="1">
        <v>45897</v>
      </c>
      <c r="G1662" t="s">
        <v>47</v>
      </c>
      <c r="H1662" s="2">
        <v>431.92</v>
      </c>
      <c r="I1662" t="s">
        <v>25</v>
      </c>
      <c r="J1662" t="s">
        <v>33</v>
      </c>
      <c r="K1662" t="s">
        <v>12</v>
      </c>
    </row>
    <row r="1663" spans="1:11" x14ac:dyDescent="0.25">
      <c r="A1663" t="s">
        <v>1032</v>
      </c>
      <c r="B1663" t="s">
        <v>382</v>
      </c>
      <c r="C1663" t="s">
        <v>1033</v>
      </c>
      <c r="D1663">
        <v>869663629</v>
      </c>
      <c r="E1663" t="s">
        <v>9</v>
      </c>
      <c r="F1663" s="1">
        <v>45195</v>
      </c>
      <c r="G1663" t="s">
        <v>518</v>
      </c>
      <c r="H1663" s="2">
        <v>1056.32</v>
      </c>
      <c r="I1663" t="s">
        <v>25</v>
      </c>
      <c r="J1663" t="s">
        <v>22</v>
      </c>
      <c r="K1663" t="s">
        <v>12</v>
      </c>
    </row>
    <row r="1664" spans="1:11" x14ac:dyDescent="0.25">
      <c r="A1664" t="s">
        <v>441</v>
      </c>
      <c r="B1664" t="s">
        <v>55</v>
      </c>
      <c r="C1664" t="s">
        <v>442</v>
      </c>
      <c r="D1664">
        <v>667768968</v>
      </c>
      <c r="E1664" t="s">
        <v>9</v>
      </c>
      <c r="F1664" s="1">
        <v>45699</v>
      </c>
      <c r="G1664" t="s">
        <v>443</v>
      </c>
      <c r="H1664" s="2">
        <v>361.91</v>
      </c>
      <c r="I1664" t="s">
        <v>25</v>
      </c>
      <c r="J1664" t="s">
        <v>33</v>
      </c>
      <c r="K1664" t="s">
        <v>12</v>
      </c>
    </row>
    <row r="1665" spans="1:11" x14ac:dyDescent="0.25">
      <c r="A1665" t="s">
        <v>1141</v>
      </c>
      <c r="B1665" t="s">
        <v>348</v>
      </c>
      <c r="C1665" t="s">
        <v>1142</v>
      </c>
      <c r="D1665">
        <v>858084159</v>
      </c>
      <c r="E1665" t="s">
        <v>13</v>
      </c>
      <c r="F1665" s="1">
        <v>45183</v>
      </c>
      <c r="G1665" t="s">
        <v>418</v>
      </c>
      <c r="H1665" s="2">
        <v>830.59</v>
      </c>
      <c r="I1665" t="s">
        <v>25</v>
      </c>
      <c r="J1665" t="s">
        <v>33</v>
      </c>
      <c r="K1665" t="s">
        <v>12</v>
      </c>
    </row>
    <row r="1666" spans="1:11" x14ac:dyDescent="0.25">
      <c r="A1666" t="s">
        <v>519</v>
      </c>
      <c r="B1666" t="s">
        <v>119</v>
      </c>
      <c r="C1666" t="s">
        <v>520</v>
      </c>
      <c r="D1666">
        <v>706921192</v>
      </c>
      <c r="E1666" t="s">
        <v>13</v>
      </c>
      <c r="F1666" s="1">
        <v>45341</v>
      </c>
      <c r="G1666" t="s">
        <v>24</v>
      </c>
      <c r="H1666" s="2">
        <v>1057.3599999999999</v>
      </c>
      <c r="I1666" t="s">
        <v>25</v>
      </c>
      <c r="J1666" t="s">
        <v>11</v>
      </c>
      <c r="K1666" t="s">
        <v>16</v>
      </c>
    </row>
    <row r="1667" spans="1:11" x14ac:dyDescent="0.25">
      <c r="A1667" t="s">
        <v>1402</v>
      </c>
      <c r="B1667" t="s">
        <v>145</v>
      </c>
      <c r="C1667" t="s">
        <v>1403</v>
      </c>
      <c r="D1667">
        <v>736243040</v>
      </c>
      <c r="E1667" t="s">
        <v>9</v>
      </c>
      <c r="F1667" s="1">
        <v>45769</v>
      </c>
      <c r="G1667" t="s">
        <v>24</v>
      </c>
      <c r="H1667" s="2">
        <v>1658.95</v>
      </c>
      <c r="I1667" t="s">
        <v>444</v>
      </c>
      <c r="J1667" t="s">
        <v>36</v>
      </c>
      <c r="K1667" t="s">
        <v>16</v>
      </c>
    </row>
    <row r="1668" spans="1:11" x14ac:dyDescent="0.25">
      <c r="A1668" t="s">
        <v>701</v>
      </c>
      <c r="B1668" t="s">
        <v>340</v>
      </c>
      <c r="C1668" t="s">
        <v>702</v>
      </c>
      <c r="D1668">
        <v>633388134</v>
      </c>
      <c r="E1668" t="s">
        <v>9</v>
      </c>
      <c r="F1668" s="1">
        <v>45801</v>
      </c>
      <c r="G1668" t="s">
        <v>518</v>
      </c>
      <c r="H1668" s="2">
        <v>1139.51</v>
      </c>
      <c r="I1668" t="s">
        <v>25</v>
      </c>
      <c r="J1668" t="s">
        <v>22</v>
      </c>
      <c r="K1668" t="s">
        <v>16</v>
      </c>
    </row>
    <row r="1669" spans="1:11" x14ac:dyDescent="0.25">
      <c r="A1669" t="s">
        <v>1239</v>
      </c>
      <c r="B1669" t="s">
        <v>201</v>
      </c>
      <c r="C1669" t="s">
        <v>1240</v>
      </c>
      <c r="D1669">
        <v>715969206</v>
      </c>
      <c r="E1669" t="s">
        <v>18</v>
      </c>
      <c r="F1669" s="1">
        <v>45570</v>
      </c>
      <c r="G1669" t="s">
        <v>415</v>
      </c>
      <c r="H1669" s="2">
        <v>1918.57</v>
      </c>
      <c r="I1669" t="s">
        <v>25</v>
      </c>
      <c r="J1669" t="s">
        <v>36</v>
      </c>
      <c r="K1669" t="s">
        <v>12</v>
      </c>
    </row>
    <row r="1670" spans="1:11" x14ac:dyDescent="0.25">
      <c r="A1670" t="s">
        <v>1478</v>
      </c>
      <c r="B1670" t="s">
        <v>213</v>
      </c>
      <c r="C1670" t="s">
        <v>1479</v>
      </c>
      <c r="D1670">
        <v>627548062</v>
      </c>
      <c r="E1670" t="s">
        <v>9</v>
      </c>
      <c r="F1670" s="1">
        <v>45330</v>
      </c>
      <c r="G1670" t="s">
        <v>440</v>
      </c>
      <c r="H1670" s="2">
        <v>532.21</v>
      </c>
      <c r="I1670" t="s">
        <v>25</v>
      </c>
      <c r="J1670" t="s">
        <v>11</v>
      </c>
      <c r="K1670" t="s">
        <v>16</v>
      </c>
    </row>
    <row r="1671" spans="1:11" x14ac:dyDescent="0.25">
      <c r="A1671" t="s">
        <v>568</v>
      </c>
      <c r="B1671" t="s">
        <v>188</v>
      </c>
      <c r="C1671" t="s">
        <v>569</v>
      </c>
      <c r="D1671">
        <v>841231253</v>
      </c>
      <c r="E1671" t="s">
        <v>9</v>
      </c>
      <c r="F1671" s="1">
        <v>45502</v>
      </c>
      <c r="G1671" t="s">
        <v>47</v>
      </c>
      <c r="H1671" s="2">
        <v>1955.38</v>
      </c>
      <c r="I1671" t="s">
        <v>507</v>
      </c>
      <c r="J1671" t="s">
        <v>26</v>
      </c>
      <c r="K1671" t="s">
        <v>12</v>
      </c>
    </row>
    <row r="1672" spans="1:11" x14ac:dyDescent="0.25">
      <c r="A1672" t="s">
        <v>1030</v>
      </c>
      <c r="B1672" t="s">
        <v>253</v>
      </c>
      <c r="C1672" t="s">
        <v>1031</v>
      </c>
      <c r="D1672">
        <v>921591687</v>
      </c>
      <c r="E1672" t="s">
        <v>9</v>
      </c>
      <c r="F1672" s="1">
        <v>45860</v>
      </c>
      <c r="G1672" t="s">
        <v>415</v>
      </c>
      <c r="H1672" s="2">
        <v>614.07000000000005</v>
      </c>
      <c r="I1672" t="s">
        <v>25</v>
      </c>
      <c r="J1672" t="s">
        <v>33</v>
      </c>
      <c r="K1672" t="s">
        <v>12</v>
      </c>
    </row>
    <row r="1673" spans="1:11" x14ac:dyDescent="0.25">
      <c r="A1673" t="s">
        <v>622</v>
      </c>
      <c r="B1673" t="s">
        <v>274</v>
      </c>
      <c r="C1673" t="s">
        <v>623</v>
      </c>
      <c r="D1673">
        <v>749724328</v>
      </c>
      <c r="E1673" t="s">
        <v>9</v>
      </c>
      <c r="F1673" s="1">
        <v>45679</v>
      </c>
      <c r="G1673" t="s">
        <v>624</v>
      </c>
      <c r="H1673" s="2">
        <v>1827.97</v>
      </c>
      <c r="I1673" t="s">
        <v>25</v>
      </c>
      <c r="J1673" t="s">
        <v>33</v>
      </c>
      <c r="K1673" t="s">
        <v>16</v>
      </c>
    </row>
    <row r="1674" spans="1:11" x14ac:dyDescent="0.25">
      <c r="A1674" t="s">
        <v>845</v>
      </c>
      <c r="B1674" t="s">
        <v>174</v>
      </c>
      <c r="C1674" t="s">
        <v>846</v>
      </c>
      <c r="D1674">
        <v>739067408</v>
      </c>
      <c r="E1674" t="s">
        <v>9</v>
      </c>
      <c r="F1674" s="1">
        <v>45632</v>
      </c>
      <c r="G1674" t="s">
        <v>460</v>
      </c>
      <c r="H1674" s="2">
        <v>891.69</v>
      </c>
      <c r="I1674" t="s">
        <v>25</v>
      </c>
      <c r="J1674" t="s">
        <v>36</v>
      </c>
      <c r="K1674" t="s">
        <v>16</v>
      </c>
    </row>
    <row r="1675" spans="1:11" x14ac:dyDescent="0.25">
      <c r="A1675" t="s">
        <v>553</v>
      </c>
      <c r="B1675" t="s">
        <v>283</v>
      </c>
      <c r="C1675" t="s">
        <v>554</v>
      </c>
      <c r="D1675">
        <v>706050514</v>
      </c>
      <c r="E1675" t="s">
        <v>9</v>
      </c>
      <c r="F1675" s="1">
        <v>45614</v>
      </c>
      <c r="G1675" t="s">
        <v>47</v>
      </c>
      <c r="H1675" s="2">
        <v>823.85</v>
      </c>
      <c r="I1675" t="s">
        <v>507</v>
      </c>
      <c r="J1675" t="s">
        <v>22</v>
      </c>
      <c r="K1675" t="s">
        <v>12</v>
      </c>
    </row>
    <row r="1676" spans="1:11" x14ac:dyDescent="0.25">
      <c r="A1676" t="s">
        <v>533</v>
      </c>
      <c r="B1676" t="s">
        <v>77</v>
      </c>
      <c r="C1676" t="s">
        <v>534</v>
      </c>
      <c r="D1676">
        <v>743862708</v>
      </c>
      <c r="E1676" t="s">
        <v>9</v>
      </c>
      <c r="F1676" s="1">
        <v>45583</v>
      </c>
      <c r="G1676" t="s">
        <v>443</v>
      </c>
      <c r="H1676" s="2">
        <v>1134.8900000000001</v>
      </c>
      <c r="I1676" t="s">
        <v>444</v>
      </c>
      <c r="J1676" t="s">
        <v>22</v>
      </c>
      <c r="K1676" t="s">
        <v>12</v>
      </c>
    </row>
    <row r="1677" spans="1:11" x14ac:dyDescent="0.25">
      <c r="A1677" t="s">
        <v>664</v>
      </c>
      <c r="B1677" t="s">
        <v>80</v>
      </c>
      <c r="C1677" t="s">
        <v>665</v>
      </c>
      <c r="D1677">
        <v>622023254</v>
      </c>
      <c r="E1677" t="s">
        <v>9</v>
      </c>
      <c r="F1677" s="1">
        <v>45314</v>
      </c>
      <c r="G1677" t="s">
        <v>32</v>
      </c>
      <c r="H1677" s="2">
        <v>659.26</v>
      </c>
      <c r="I1677" t="s">
        <v>25</v>
      </c>
      <c r="J1677" t="s">
        <v>22</v>
      </c>
      <c r="K1677" t="s">
        <v>16</v>
      </c>
    </row>
    <row r="1678" spans="1:11" x14ac:dyDescent="0.25">
      <c r="A1678" t="s">
        <v>941</v>
      </c>
      <c r="B1678" t="s">
        <v>182</v>
      </c>
      <c r="C1678" t="s">
        <v>942</v>
      </c>
      <c r="D1678">
        <v>728722101</v>
      </c>
      <c r="E1678" t="s">
        <v>9</v>
      </c>
      <c r="F1678" s="1">
        <v>45845</v>
      </c>
      <c r="G1678" t="s">
        <v>14</v>
      </c>
      <c r="H1678" s="2">
        <v>1128.74</v>
      </c>
      <c r="I1678" t="s">
        <v>25</v>
      </c>
      <c r="J1678" t="s">
        <v>11</v>
      </c>
      <c r="K1678" t="s">
        <v>16</v>
      </c>
    </row>
    <row r="1679" spans="1:11" x14ac:dyDescent="0.25">
      <c r="A1679" t="s">
        <v>926</v>
      </c>
      <c r="B1679" t="s">
        <v>178</v>
      </c>
      <c r="C1679" t="s">
        <v>927</v>
      </c>
      <c r="D1679">
        <v>708355930</v>
      </c>
      <c r="E1679" t="s">
        <v>9</v>
      </c>
      <c r="F1679" s="1">
        <v>45310</v>
      </c>
      <c r="G1679" t="s">
        <v>24</v>
      </c>
      <c r="H1679" s="2">
        <v>631.34</v>
      </c>
      <c r="I1679" t="s">
        <v>25</v>
      </c>
      <c r="J1679" t="s">
        <v>33</v>
      </c>
      <c r="K1679" t="s">
        <v>16</v>
      </c>
    </row>
    <row r="1680" spans="1:11" x14ac:dyDescent="0.25">
      <c r="A1680" t="s">
        <v>662</v>
      </c>
      <c r="B1680" t="s">
        <v>241</v>
      </c>
      <c r="C1680" t="s">
        <v>663</v>
      </c>
      <c r="D1680">
        <v>717637012</v>
      </c>
      <c r="E1680" t="s">
        <v>18</v>
      </c>
      <c r="F1680" s="1">
        <v>45204</v>
      </c>
      <c r="G1680" t="s">
        <v>29</v>
      </c>
      <c r="H1680" s="2">
        <v>499.95</v>
      </c>
      <c r="I1680" t="s">
        <v>25</v>
      </c>
      <c r="J1680" t="s">
        <v>11</v>
      </c>
      <c r="K1680" t="s">
        <v>16</v>
      </c>
    </row>
    <row r="1681" spans="1:11" x14ac:dyDescent="0.25">
      <c r="A1681" t="s">
        <v>919</v>
      </c>
      <c r="B1681" t="s">
        <v>338</v>
      </c>
      <c r="C1681" t="s">
        <v>920</v>
      </c>
      <c r="D1681">
        <v>650924818</v>
      </c>
      <c r="E1681" t="s">
        <v>18</v>
      </c>
      <c r="F1681" s="1">
        <v>45198</v>
      </c>
      <c r="G1681" t="s">
        <v>19</v>
      </c>
      <c r="H1681" s="2">
        <v>1350.68</v>
      </c>
      <c r="I1681" t="s">
        <v>25</v>
      </c>
      <c r="J1681" t="s">
        <v>11</v>
      </c>
      <c r="K1681" t="s">
        <v>16</v>
      </c>
    </row>
    <row r="1682" spans="1:11" x14ac:dyDescent="0.25">
      <c r="A1682" t="s">
        <v>1222</v>
      </c>
      <c r="B1682" t="s">
        <v>399</v>
      </c>
      <c r="C1682" t="s">
        <v>1223</v>
      </c>
      <c r="D1682">
        <v>639108490</v>
      </c>
      <c r="E1682" t="s">
        <v>9</v>
      </c>
      <c r="F1682" s="1">
        <v>45899</v>
      </c>
      <c r="G1682" t="s">
        <v>506</v>
      </c>
      <c r="H1682" s="2">
        <v>1213.49</v>
      </c>
      <c r="I1682" t="s">
        <v>25</v>
      </c>
      <c r="J1682" t="s">
        <v>22</v>
      </c>
      <c r="K1682" t="s">
        <v>16</v>
      </c>
    </row>
    <row r="1683" spans="1:11" x14ac:dyDescent="0.25">
      <c r="A1683" t="s">
        <v>1143</v>
      </c>
      <c r="B1683" t="s">
        <v>198</v>
      </c>
      <c r="C1683" t="s">
        <v>1144</v>
      </c>
      <c r="D1683">
        <v>828808869</v>
      </c>
      <c r="E1683" t="s">
        <v>9</v>
      </c>
      <c r="F1683" s="1">
        <v>45380</v>
      </c>
      <c r="G1683" t="s">
        <v>418</v>
      </c>
      <c r="H1683" s="2">
        <v>211.87</v>
      </c>
      <c r="I1683" t="s">
        <v>25</v>
      </c>
      <c r="J1683" t="s">
        <v>15</v>
      </c>
      <c r="K1683" t="s">
        <v>12</v>
      </c>
    </row>
    <row r="1684" spans="1:11" x14ac:dyDescent="0.25">
      <c r="A1684" t="s">
        <v>845</v>
      </c>
      <c r="B1684" t="s">
        <v>174</v>
      </c>
      <c r="C1684" t="s">
        <v>846</v>
      </c>
      <c r="D1684">
        <v>739067408</v>
      </c>
      <c r="E1684" t="s">
        <v>9</v>
      </c>
      <c r="F1684" s="1">
        <v>45840</v>
      </c>
      <c r="G1684" t="s">
        <v>460</v>
      </c>
      <c r="H1684" s="2">
        <v>1854.85</v>
      </c>
      <c r="I1684" t="s">
        <v>25</v>
      </c>
      <c r="J1684" t="s">
        <v>33</v>
      </c>
      <c r="K1684" t="s">
        <v>12</v>
      </c>
    </row>
    <row r="1685" spans="1:11" x14ac:dyDescent="0.25">
      <c r="A1685" t="s">
        <v>1371</v>
      </c>
      <c r="B1685" t="s">
        <v>175</v>
      </c>
      <c r="C1685" t="s">
        <v>1372</v>
      </c>
      <c r="D1685">
        <v>667187938</v>
      </c>
      <c r="E1685" t="s">
        <v>18</v>
      </c>
      <c r="F1685" s="1">
        <v>45706</v>
      </c>
      <c r="G1685" t="s">
        <v>423</v>
      </c>
      <c r="H1685" s="2">
        <v>363.73</v>
      </c>
      <c r="I1685" t="s">
        <v>25</v>
      </c>
      <c r="J1685" t="s">
        <v>36</v>
      </c>
      <c r="K1685" t="s">
        <v>16</v>
      </c>
    </row>
    <row r="1686" spans="1:11" x14ac:dyDescent="0.25">
      <c r="A1686" t="s">
        <v>653</v>
      </c>
      <c r="B1686" t="s">
        <v>654</v>
      </c>
      <c r="C1686" t="s">
        <v>655</v>
      </c>
      <c r="D1686">
        <v>719370887</v>
      </c>
      <c r="E1686" t="s">
        <v>18</v>
      </c>
      <c r="F1686" s="1">
        <v>45609</v>
      </c>
      <c r="G1686" t="s">
        <v>475</v>
      </c>
      <c r="H1686" s="2">
        <v>341.41</v>
      </c>
      <c r="I1686" t="s">
        <v>25</v>
      </c>
      <c r="J1686" t="s">
        <v>26</v>
      </c>
      <c r="K1686" t="s">
        <v>12</v>
      </c>
    </row>
    <row r="1687" spans="1:11" x14ac:dyDescent="0.25">
      <c r="A1687" t="s">
        <v>1098</v>
      </c>
      <c r="B1687" t="s">
        <v>341</v>
      </c>
      <c r="C1687" t="s">
        <v>1099</v>
      </c>
      <c r="D1687">
        <v>722196891</v>
      </c>
      <c r="E1687" t="s">
        <v>13</v>
      </c>
      <c r="F1687" s="1">
        <v>45693</v>
      </c>
      <c r="G1687" t="s">
        <v>475</v>
      </c>
      <c r="H1687" s="2">
        <v>1272.47</v>
      </c>
      <c r="I1687" t="s">
        <v>25</v>
      </c>
      <c r="J1687" t="s">
        <v>26</v>
      </c>
      <c r="K1687" t="s">
        <v>12</v>
      </c>
    </row>
    <row r="1688" spans="1:11" x14ac:dyDescent="0.25">
      <c r="A1688" t="s">
        <v>566</v>
      </c>
      <c r="B1688" t="s">
        <v>321</v>
      </c>
      <c r="C1688" t="s">
        <v>567</v>
      </c>
      <c r="D1688">
        <v>701055024</v>
      </c>
      <c r="E1688" t="s">
        <v>9</v>
      </c>
      <c r="F1688" s="1">
        <v>45840</v>
      </c>
      <c r="G1688" t="s">
        <v>518</v>
      </c>
      <c r="H1688" s="2">
        <v>1485.85</v>
      </c>
      <c r="I1688" t="s">
        <v>25</v>
      </c>
      <c r="J1688" t="s">
        <v>22</v>
      </c>
      <c r="K1688" t="s">
        <v>16</v>
      </c>
    </row>
    <row r="1689" spans="1:11" x14ac:dyDescent="0.25">
      <c r="A1689" t="s">
        <v>1525</v>
      </c>
      <c r="B1689" t="s">
        <v>305</v>
      </c>
      <c r="C1689" t="s">
        <v>1526</v>
      </c>
      <c r="D1689">
        <v>723112922</v>
      </c>
      <c r="E1689" t="s">
        <v>9</v>
      </c>
      <c r="F1689" s="1">
        <v>45264</v>
      </c>
      <c r="G1689" t="s">
        <v>47</v>
      </c>
      <c r="H1689" s="2">
        <v>1224.3499999999999</v>
      </c>
      <c r="I1689" t="s">
        <v>25</v>
      </c>
      <c r="J1689" t="s">
        <v>26</v>
      </c>
      <c r="K1689" t="s">
        <v>12</v>
      </c>
    </row>
    <row r="1690" spans="1:11" x14ac:dyDescent="0.25">
      <c r="A1690" t="s">
        <v>1274</v>
      </c>
      <c r="B1690" t="s">
        <v>261</v>
      </c>
      <c r="C1690" t="s">
        <v>1275</v>
      </c>
      <c r="D1690">
        <v>730694210</v>
      </c>
      <c r="E1690" t="s">
        <v>18</v>
      </c>
      <c r="F1690" s="1">
        <v>45496</v>
      </c>
      <c r="G1690" t="s">
        <v>14</v>
      </c>
      <c r="H1690" s="2">
        <v>172</v>
      </c>
      <c r="I1690" t="s">
        <v>25</v>
      </c>
      <c r="J1690" t="s">
        <v>15</v>
      </c>
      <c r="K1690" t="s">
        <v>12</v>
      </c>
    </row>
    <row r="1691" spans="1:11" x14ac:dyDescent="0.25">
      <c r="A1691" t="s">
        <v>733</v>
      </c>
      <c r="B1691" t="s">
        <v>228</v>
      </c>
      <c r="C1691" t="s">
        <v>734</v>
      </c>
      <c r="D1691">
        <v>702416899</v>
      </c>
      <c r="E1691" t="s">
        <v>18</v>
      </c>
      <c r="F1691" s="1">
        <v>45740</v>
      </c>
      <c r="G1691" t="s">
        <v>415</v>
      </c>
      <c r="H1691" s="2">
        <v>61.56</v>
      </c>
      <c r="I1691" t="s">
        <v>25</v>
      </c>
      <c r="J1691" t="s">
        <v>15</v>
      </c>
      <c r="K1691" t="s">
        <v>12</v>
      </c>
    </row>
    <row r="1692" spans="1:11" x14ac:dyDescent="0.25">
      <c r="A1692" t="s">
        <v>1515</v>
      </c>
      <c r="B1692" t="s">
        <v>323</v>
      </c>
      <c r="C1692" t="s">
        <v>1516</v>
      </c>
      <c r="D1692">
        <v>738718693</v>
      </c>
      <c r="E1692" t="s">
        <v>18</v>
      </c>
      <c r="F1692" s="1">
        <v>45181</v>
      </c>
      <c r="G1692" t="s">
        <v>423</v>
      </c>
      <c r="H1692" s="2">
        <v>1969.81</v>
      </c>
      <c r="I1692" t="s">
        <v>25</v>
      </c>
      <c r="J1692" t="s">
        <v>11</v>
      </c>
      <c r="K1692" t="s">
        <v>16</v>
      </c>
    </row>
    <row r="1693" spans="1:11" x14ac:dyDescent="0.25">
      <c r="A1693" t="s">
        <v>1201</v>
      </c>
      <c r="B1693" t="s">
        <v>280</v>
      </c>
      <c r="C1693" t="s">
        <v>1202</v>
      </c>
      <c r="D1693">
        <v>639659594</v>
      </c>
      <c r="E1693" t="s">
        <v>9</v>
      </c>
      <c r="F1693" s="1">
        <v>45860</v>
      </c>
      <c r="G1693" t="s">
        <v>478</v>
      </c>
      <c r="H1693" s="2">
        <v>1717.32</v>
      </c>
      <c r="I1693" t="s">
        <v>25</v>
      </c>
      <c r="J1693" t="s">
        <v>22</v>
      </c>
      <c r="K1693" t="s">
        <v>16</v>
      </c>
    </row>
    <row r="1694" spans="1:11" x14ac:dyDescent="0.25">
      <c r="A1694" t="s">
        <v>1110</v>
      </c>
      <c r="B1694" t="s">
        <v>166</v>
      </c>
      <c r="C1694" t="s">
        <v>1111</v>
      </c>
      <c r="D1694">
        <v>723768512</v>
      </c>
      <c r="E1694" t="s">
        <v>9</v>
      </c>
      <c r="F1694" s="1">
        <v>45534</v>
      </c>
      <c r="G1694" t="s">
        <v>32</v>
      </c>
      <c r="H1694" s="2">
        <v>1124.26</v>
      </c>
      <c r="I1694" t="s">
        <v>25</v>
      </c>
      <c r="J1694" t="s">
        <v>26</v>
      </c>
      <c r="K1694" t="s">
        <v>12</v>
      </c>
    </row>
    <row r="1695" spans="1:11" x14ac:dyDescent="0.25">
      <c r="A1695" t="s">
        <v>947</v>
      </c>
      <c r="B1695" t="s">
        <v>144</v>
      </c>
      <c r="C1695" t="s">
        <v>948</v>
      </c>
      <c r="D1695">
        <v>933910652</v>
      </c>
      <c r="E1695" t="s">
        <v>18</v>
      </c>
      <c r="F1695" s="1">
        <v>45778</v>
      </c>
      <c r="G1695" t="s">
        <v>440</v>
      </c>
      <c r="H1695" s="2">
        <v>1710.93</v>
      </c>
      <c r="I1695" t="s">
        <v>25</v>
      </c>
      <c r="J1695" t="s">
        <v>11</v>
      </c>
      <c r="K1695" t="s">
        <v>16</v>
      </c>
    </row>
    <row r="1696" spans="1:11" x14ac:dyDescent="0.25">
      <c r="A1696" t="s">
        <v>1527</v>
      </c>
      <c r="B1696" t="s">
        <v>299</v>
      </c>
      <c r="C1696" t="s">
        <v>1528</v>
      </c>
      <c r="D1696">
        <v>735519380</v>
      </c>
      <c r="E1696" t="s">
        <v>9</v>
      </c>
      <c r="F1696" s="1">
        <v>45222</v>
      </c>
      <c r="G1696" t="s">
        <v>412</v>
      </c>
      <c r="H1696" s="2">
        <v>649.73</v>
      </c>
      <c r="I1696" t="s">
        <v>25</v>
      </c>
      <c r="J1696" t="s">
        <v>26</v>
      </c>
      <c r="K1696" t="s">
        <v>16</v>
      </c>
    </row>
    <row r="1697" spans="1:11" x14ac:dyDescent="0.25">
      <c r="A1697" t="s">
        <v>525</v>
      </c>
      <c r="B1697" t="s">
        <v>202</v>
      </c>
      <c r="C1697" t="s">
        <v>526</v>
      </c>
      <c r="D1697">
        <v>715742102</v>
      </c>
      <c r="E1697" t="s">
        <v>9</v>
      </c>
      <c r="F1697" s="1">
        <v>45470</v>
      </c>
      <c r="G1697" t="s">
        <v>10</v>
      </c>
      <c r="H1697" s="2">
        <v>1809.4</v>
      </c>
      <c r="I1697" t="s">
        <v>25</v>
      </c>
      <c r="J1697" t="s">
        <v>33</v>
      </c>
      <c r="K1697" t="s">
        <v>12</v>
      </c>
    </row>
    <row r="1698" spans="1:11" x14ac:dyDescent="0.25">
      <c r="A1698" t="s">
        <v>547</v>
      </c>
      <c r="B1698" t="s">
        <v>96</v>
      </c>
      <c r="C1698" t="s">
        <v>548</v>
      </c>
      <c r="D1698">
        <v>748347564</v>
      </c>
      <c r="E1698" t="s">
        <v>18</v>
      </c>
      <c r="F1698" s="1">
        <v>45902</v>
      </c>
      <c r="G1698" t="s">
        <v>423</v>
      </c>
      <c r="H1698" s="2">
        <v>1711.07</v>
      </c>
      <c r="I1698" t="s">
        <v>25</v>
      </c>
      <c r="J1698" t="s">
        <v>36</v>
      </c>
      <c r="K1698" t="s">
        <v>12</v>
      </c>
    </row>
    <row r="1699" spans="1:11" x14ac:dyDescent="0.25">
      <c r="A1699" t="s">
        <v>1014</v>
      </c>
      <c r="B1699" t="s">
        <v>120</v>
      </c>
      <c r="C1699" t="s">
        <v>1015</v>
      </c>
      <c r="D1699">
        <v>701325298</v>
      </c>
      <c r="E1699" t="s">
        <v>9</v>
      </c>
      <c r="F1699" s="1">
        <v>45445</v>
      </c>
      <c r="G1699" t="s">
        <v>440</v>
      </c>
      <c r="H1699" s="2">
        <v>1308.18</v>
      </c>
      <c r="I1699" t="s">
        <v>25</v>
      </c>
      <c r="J1699" t="s">
        <v>11</v>
      </c>
      <c r="K1699" t="s">
        <v>16</v>
      </c>
    </row>
    <row r="1700" spans="1:11" x14ac:dyDescent="0.25">
      <c r="A1700" t="s">
        <v>1286</v>
      </c>
      <c r="B1700" t="s">
        <v>27</v>
      </c>
      <c r="C1700" t="s">
        <v>1287</v>
      </c>
      <c r="D1700">
        <v>745334445</v>
      </c>
      <c r="E1700" t="s">
        <v>18</v>
      </c>
      <c r="F1700" s="1">
        <v>45832</v>
      </c>
      <c r="G1700" t="s">
        <v>47</v>
      </c>
      <c r="H1700" s="2">
        <v>1931.43</v>
      </c>
      <c r="I1700" t="s">
        <v>25</v>
      </c>
      <c r="J1700" t="s">
        <v>33</v>
      </c>
      <c r="K1700" t="s">
        <v>12</v>
      </c>
    </row>
    <row r="1701" spans="1:11" x14ac:dyDescent="0.25">
      <c r="A1701" t="s">
        <v>978</v>
      </c>
      <c r="B1701" t="s">
        <v>355</v>
      </c>
      <c r="C1701" t="s">
        <v>979</v>
      </c>
      <c r="D1701">
        <v>721979865</v>
      </c>
      <c r="E1701" t="s">
        <v>9</v>
      </c>
      <c r="F1701" s="1">
        <v>45385</v>
      </c>
      <c r="G1701" t="s">
        <v>518</v>
      </c>
      <c r="H1701" s="2">
        <v>293.99</v>
      </c>
      <c r="I1701" t="s">
        <v>25</v>
      </c>
      <c r="J1701" t="s">
        <v>33</v>
      </c>
      <c r="K1701" t="s">
        <v>12</v>
      </c>
    </row>
    <row r="1702" spans="1:11" x14ac:dyDescent="0.25">
      <c r="A1702" t="s">
        <v>808</v>
      </c>
      <c r="B1702" t="s">
        <v>578</v>
      </c>
      <c r="C1702" t="s">
        <v>809</v>
      </c>
      <c r="D1702">
        <v>741558653</v>
      </c>
      <c r="E1702" t="s">
        <v>9</v>
      </c>
      <c r="F1702" s="1">
        <v>45477</v>
      </c>
      <c r="G1702" t="s">
        <v>14</v>
      </c>
      <c r="H1702" s="2">
        <v>500.05</v>
      </c>
      <c r="I1702" t="s">
        <v>25</v>
      </c>
      <c r="J1702" t="s">
        <v>26</v>
      </c>
      <c r="K1702" t="s">
        <v>12</v>
      </c>
    </row>
    <row r="1703" spans="1:11" x14ac:dyDescent="0.25">
      <c r="A1703" t="s">
        <v>1529</v>
      </c>
      <c r="B1703" t="s">
        <v>106</v>
      </c>
      <c r="C1703" t="s">
        <v>1530</v>
      </c>
      <c r="D1703">
        <v>702403846</v>
      </c>
      <c r="E1703" t="s">
        <v>18</v>
      </c>
      <c r="F1703" s="1">
        <v>45258</v>
      </c>
      <c r="G1703" t="s">
        <v>39</v>
      </c>
      <c r="H1703" s="2">
        <v>1135.3</v>
      </c>
      <c r="I1703" t="s">
        <v>25</v>
      </c>
      <c r="J1703" t="s">
        <v>11</v>
      </c>
      <c r="K1703" t="s">
        <v>16</v>
      </c>
    </row>
    <row r="1704" spans="1:11" x14ac:dyDescent="0.25">
      <c r="A1704" t="s">
        <v>860</v>
      </c>
      <c r="B1704" t="s">
        <v>282</v>
      </c>
      <c r="C1704" t="s">
        <v>861</v>
      </c>
      <c r="D1704">
        <v>720839974</v>
      </c>
      <c r="E1704" t="s">
        <v>9</v>
      </c>
      <c r="F1704" s="1">
        <v>45764</v>
      </c>
      <c r="G1704" t="s">
        <v>29</v>
      </c>
      <c r="H1704" s="2">
        <v>686</v>
      </c>
      <c r="I1704" t="s">
        <v>25</v>
      </c>
      <c r="J1704" t="s">
        <v>22</v>
      </c>
      <c r="K1704" t="s">
        <v>12</v>
      </c>
    </row>
    <row r="1705" spans="1:11" x14ac:dyDescent="0.25">
      <c r="A1705" t="s">
        <v>804</v>
      </c>
      <c r="B1705" t="s">
        <v>45</v>
      </c>
      <c r="C1705" t="s">
        <v>805</v>
      </c>
      <c r="D1705">
        <v>716908291</v>
      </c>
      <c r="E1705" t="s">
        <v>9</v>
      </c>
      <c r="F1705" s="1">
        <v>45398</v>
      </c>
      <c r="G1705" t="s">
        <v>451</v>
      </c>
      <c r="H1705" s="2">
        <v>416.39</v>
      </c>
      <c r="I1705" t="s">
        <v>25</v>
      </c>
      <c r="J1705" t="s">
        <v>22</v>
      </c>
      <c r="K1705" t="s">
        <v>12</v>
      </c>
    </row>
    <row r="1706" spans="1:11" x14ac:dyDescent="0.25">
      <c r="A1706" t="s">
        <v>1531</v>
      </c>
      <c r="B1706" t="s">
        <v>157</v>
      </c>
      <c r="C1706" t="s">
        <v>1532</v>
      </c>
      <c r="D1706">
        <v>706587721</v>
      </c>
      <c r="E1706" t="s">
        <v>9</v>
      </c>
      <c r="F1706" s="1">
        <v>45596</v>
      </c>
      <c r="G1706" t="s">
        <v>35</v>
      </c>
      <c r="H1706" s="2">
        <v>1359.83</v>
      </c>
      <c r="I1706" t="s">
        <v>25</v>
      </c>
      <c r="J1706" t="s">
        <v>22</v>
      </c>
      <c r="K1706" t="s">
        <v>16</v>
      </c>
    </row>
    <row r="1707" spans="1:11" x14ac:dyDescent="0.25">
      <c r="A1707" t="s">
        <v>776</v>
      </c>
      <c r="B1707" t="s">
        <v>200</v>
      </c>
      <c r="C1707" t="s">
        <v>777</v>
      </c>
      <c r="D1707">
        <v>727278182</v>
      </c>
      <c r="E1707" t="s">
        <v>9</v>
      </c>
      <c r="F1707" s="1">
        <v>45275</v>
      </c>
      <c r="G1707" t="s">
        <v>603</v>
      </c>
      <c r="H1707" s="2">
        <v>912.49</v>
      </c>
      <c r="I1707" t="s">
        <v>25</v>
      </c>
      <c r="J1707" t="s">
        <v>33</v>
      </c>
      <c r="K1707" t="s">
        <v>16</v>
      </c>
    </row>
    <row r="1708" spans="1:11" x14ac:dyDescent="0.25">
      <c r="A1708" t="s">
        <v>1490</v>
      </c>
      <c r="B1708" t="s">
        <v>51</v>
      </c>
      <c r="C1708" t="s">
        <v>1491</v>
      </c>
      <c r="D1708">
        <v>743295032</v>
      </c>
      <c r="E1708" t="s">
        <v>9</v>
      </c>
      <c r="F1708" s="1">
        <v>45673</v>
      </c>
      <c r="G1708" t="s">
        <v>478</v>
      </c>
      <c r="H1708" s="2">
        <v>1265.26</v>
      </c>
      <c r="I1708" t="s">
        <v>444</v>
      </c>
      <c r="J1708" t="s">
        <v>33</v>
      </c>
      <c r="K1708" t="s">
        <v>16</v>
      </c>
    </row>
    <row r="1709" spans="1:11" x14ac:dyDescent="0.25">
      <c r="A1709" t="s">
        <v>1026</v>
      </c>
      <c r="B1709" t="s">
        <v>28</v>
      </c>
      <c r="C1709" t="s">
        <v>1027</v>
      </c>
      <c r="D1709">
        <v>955471414</v>
      </c>
      <c r="E1709" t="s">
        <v>9</v>
      </c>
      <c r="F1709" s="1">
        <v>45186</v>
      </c>
      <c r="G1709" t="s">
        <v>39</v>
      </c>
      <c r="H1709" s="2">
        <v>1978.46</v>
      </c>
      <c r="I1709" t="s">
        <v>25</v>
      </c>
      <c r="J1709" t="s">
        <v>22</v>
      </c>
      <c r="K1709" t="s">
        <v>16</v>
      </c>
    </row>
    <row r="1710" spans="1:11" x14ac:dyDescent="0.25">
      <c r="A1710" t="s">
        <v>514</v>
      </c>
      <c r="B1710" t="s">
        <v>292</v>
      </c>
      <c r="C1710" t="s">
        <v>515</v>
      </c>
      <c r="D1710">
        <v>726799934</v>
      </c>
      <c r="E1710" t="s">
        <v>18</v>
      </c>
      <c r="F1710" s="1">
        <v>45678</v>
      </c>
      <c r="G1710" t="s">
        <v>440</v>
      </c>
      <c r="H1710" s="2">
        <v>1790.85</v>
      </c>
      <c r="I1710" t="s">
        <v>25</v>
      </c>
      <c r="J1710" t="s">
        <v>36</v>
      </c>
      <c r="K1710" t="s">
        <v>12</v>
      </c>
    </row>
    <row r="1711" spans="1:11" x14ac:dyDescent="0.25">
      <c r="A1711" t="s">
        <v>570</v>
      </c>
      <c r="B1711" t="s">
        <v>571</v>
      </c>
      <c r="C1711" t="s">
        <v>572</v>
      </c>
      <c r="D1711">
        <v>713291022</v>
      </c>
      <c r="E1711" t="s">
        <v>13</v>
      </c>
      <c r="F1711" s="1">
        <v>45502</v>
      </c>
      <c r="G1711" t="s">
        <v>418</v>
      </c>
      <c r="H1711" s="2">
        <v>603.47</v>
      </c>
      <c r="I1711" t="s">
        <v>25</v>
      </c>
      <c r="J1711" t="s">
        <v>22</v>
      </c>
      <c r="K1711" t="s">
        <v>12</v>
      </c>
    </row>
    <row r="1712" spans="1:11" x14ac:dyDescent="0.25">
      <c r="A1712" t="s">
        <v>1030</v>
      </c>
      <c r="B1712" t="s">
        <v>253</v>
      </c>
      <c r="C1712" t="s">
        <v>1031</v>
      </c>
      <c r="D1712">
        <v>921591687</v>
      </c>
      <c r="E1712" t="s">
        <v>9</v>
      </c>
      <c r="F1712" s="1">
        <v>45235</v>
      </c>
      <c r="G1712" t="s">
        <v>415</v>
      </c>
      <c r="H1712" s="2">
        <v>1635.75</v>
      </c>
      <c r="I1712" t="s">
        <v>25</v>
      </c>
      <c r="J1712" t="s">
        <v>22</v>
      </c>
      <c r="K1712" t="s">
        <v>12</v>
      </c>
    </row>
    <row r="1713" spans="1:11" x14ac:dyDescent="0.25">
      <c r="A1713" t="s">
        <v>1396</v>
      </c>
      <c r="B1713" t="s">
        <v>376</v>
      </c>
      <c r="C1713" t="s">
        <v>1397</v>
      </c>
      <c r="D1713">
        <v>748753252</v>
      </c>
      <c r="E1713" t="s">
        <v>9</v>
      </c>
      <c r="F1713" s="1">
        <v>45268</v>
      </c>
      <c r="G1713" t="s">
        <v>443</v>
      </c>
      <c r="H1713" s="2">
        <v>1063.29</v>
      </c>
      <c r="I1713" t="s">
        <v>25</v>
      </c>
      <c r="J1713" t="s">
        <v>33</v>
      </c>
      <c r="K1713" t="s">
        <v>16</v>
      </c>
    </row>
    <row r="1714" spans="1:11" x14ac:dyDescent="0.25">
      <c r="A1714" t="s">
        <v>1184</v>
      </c>
      <c r="B1714" t="s">
        <v>260</v>
      </c>
      <c r="C1714" t="s">
        <v>1185</v>
      </c>
      <c r="D1714">
        <v>985194664</v>
      </c>
      <c r="E1714" t="s">
        <v>9</v>
      </c>
      <c r="F1714" s="1">
        <v>45811</v>
      </c>
      <c r="G1714" t="s">
        <v>418</v>
      </c>
      <c r="H1714" s="2">
        <v>428.48</v>
      </c>
      <c r="I1714" t="s">
        <v>25</v>
      </c>
      <c r="J1714" t="s">
        <v>33</v>
      </c>
      <c r="K1714" t="s">
        <v>12</v>
      </c>
    </row>
    <row r="1715" spans="1:11" x14ac:dyDescent="0.25">
      <c r="A1715" t="s">
        <v>1172</v>
      </c>
      <c r="B1715" t="s">
        <v>163</v>
      </c>
      <c r="C1715" t="s">
        <v>1173</v>
      </c>
      <c r="D1715">
        <v>960053641</v>
      </c>
      <c r="E1715" t="s">
        <v>13</v>
      </c>
      <c r="F1715" s="1">
        <v>45557</v>
      </c>
      <c r="G1715" t="s">
        <v>440</v>
      </c>
      <c r="H1715" s="2">
        <v>453.11</v>
      </c>
      <c r="I1715" t="s">
        <v>25</v>
      </c>
      <c r="J1715" t="s">
        <v>11</v>
      </c>
      <c r="K1715" t="s">
        <v>16</v>
      </c>
    </row>
    <row r="1716" spans="1:11" x14ac:dyDescent="0.25">
      <c r="A1716" t="s">
        <v>458</v>
      </c>
      <c r="B1716" t="s">
        <v>377</v>
      </c>
      <c r="C1716" t="s">
        <v>459</v>
      </c>
      <c r="D1716">
        <v>747259283</v>
      </c>
      <c r="E1716" t="s">
        <v>9</v>
      </c>
      <c r="F1716" s="1">
        <v>45331</v>
      </c>
      <c r="G1716" t="s">
        <v>460</v>
      </c>
      <c r="H1716" s="2">
        <v>461.91</v>
      </c>
      <c r="I1716" t="s">
        <v>25</v>
      </c>
      <c r="J1716" t="s">
        <v>11</v>
      </c>
      <c r="K1716" t="s">
        <v>12</v>
      </c>
    </row>
    <row r="1717" spans="1:11" x14ac:dyDescent="0.25">
      <c r="A1717" t="s">
        <v>1060</v>
      </c>
      <c r="B1717" t="s">
        <v>238</v>
      </c>
      <c r="C1717" t="s">
        <v>1061</v>
      </c>
      <c r="D1717">
        <v>971399015</v>
      </c>
      <c r="E1717" t="s">
        <v>18</v>
      </c>
      <c r="F1717" s="1">
        <v>45490</v>
      </c>
      <c r="G1717" t="s">
        <v>518</v>
      </c>
      <c r="H1717" s="2">
        <v>1812.78</v>
      </c>
      <c r="I1717" t="s">
        <v>25</v>
      </c>
      <c r="J1717" t="s">
        <v>36</v>
      </c>
      <c r="K1717" t="s">
        <v>16</v>
      </c>
    </row>
    <row r="1718" spans="1:11" x14ac:dyDescent="0.25">
      <c r="A1718" t="s">
        <v>1454</v>
      </c>
      <c r="B1718" t="s">
        <v>125</v>
      </c>
      <c r="C1718" t="s">
        <v>1455</v>
      </c>
      <c r="D1718">
        <v>718769258</v>
      </c>
      <c r="E1718" t="s">
        <v>18</v>
      </c>
      <c r="F1718" s="1">
        <v>45829</v>
      </c>
      <c r="G1718" t="s">
        <v>35</v>
      </c>
      <c r="H1718" s="2">
        <v>1560.22</v>
      </c>
      <c r="I1718" t="s">
        <v>25</v>
      </c>
      <c r="J1718" t="s">
        <v>11</v>
      </c>
      <c r="K1718" t="s">
        <v>16</v>
      </c>
    </row>
    <row r="1719" spans="1:11" x14ac:dyDescent="0.25">
      <c r="A1719" t="s">
        <v>1533</v>
      </c>
      <c r="B1719" t="s">
        <v>216</v>
      </c>
      <c r="C1719" t="s">
        <v>1534</v>
      </c>
      <c r="D1719">
        <v>722429412</v>
      </c>
      <c r="E1719" t="s">
        <v>9</v>
      </c>
      <c r="F1719" s="1">
        <v>45247</v>
      </c>
      <c r="G1719" t="s">
        <v>29</v>
      </c>
      <c r="H1719" s="2">
        <v>1240.82</v>
      </c>
      <c r="I1719" t="s">
        <v>25</v>
      </c>
      <c r="J1719" t="s">
        <v>11</v>
      </c>
      <c r="K1719" t="s">
        <v>16</v>
      </c>
    </row>
    <row r="1720" spans="1:11" x14ac:dyDescent="0.25">
      <c r="A1720" t="s">
        <v>1494</v>
      </c>
      <c r="B1720" t="s">
        <v>139</v>
      </c>
      <c r="C1720" t="s">
        <v>1495</v>
      </c>
      <c r="D1720">
        <v>718841855</v>
      </c>
      <c r="E1720" t="s">
        <v>18</v>
      </c>
      <c r="F1720" s="1">
        <v>45903</v>
      </c>
      <c r="G1720" t="s">
        <v>10</v>
      </c>
      <c r="H1720" s="2">
        <v>901.19</v>
      </c>
      <c r="I1720" t="s">
        <v>25</v>
      </c>
      <c r="J1720" t="s">
        <v>33</v>
      </c>
      <c r="K1720" t="s">
        <v>12</v>
      </c>
    </row>
    <row r="1721" spans="1:11" x14ac:dyDescent="0.25">
      <c r="A1721" t="s">
        <v>502</v>
      </c>
      <c r="B1721" t="s">
        <v>352</v>
      </c>
      <c r="C1721" t="s">
        <v>503</v>
      </c>
      <c r="D1721">
        <v>731725140</v>
      </c>
      <c r="E1721" t="s">
        <v>9</v>
      </c>
      <c r="F1721" s="1">
        <v>45667</v>
      </c>
      <c r="G1721" t="s">
        <v>415</v>
      </c>
      <c r="H1721" s="2">
        <v>1214.8900000000001</v>
      </c>
      <c r="I1721" t="s">
        <v>25</v>
      </c>
      <c r="J1721" t="s">
        <v>11</v>
      </c>
      <c r="K1721" t="s">
        <v>12</v>
      </c>
    </row>
    <row r="1722" spans="1:11" x14ac:dyDescent="0.25">
      <c r="A1722" t="s">
        <v>1239</v>
      </c>
      <c r="B1722" t="s">
        <v>201</v>
      </c>
      <c r="C1722" t="s">
        <v>1240</v>
      </c>
      <c r="D1722">
        <v>715969206</v>
      </c>
      <c r="E1722" t="s">
        <v>18</v>
      </c>
      <c r="F1722" s="1">
        <v>45349</v>
      </c>
      <c r="G1722" t="s">
        <v>415</v>
      </c>
      <c r="H1722" s="2">
        <v>478.4</v>
      </c>
      <c r="I1722" t="s">
        <v>25</v>
      </c>
      <c r="J1722" t="s">
        <v>26</v>
      </c>
      <c r="K1722" t="s">
        <v>12</v>
      </c>
    </row>
    <row r="1723" spans="1:11" x14ac:dyDescent="0.25">
      <c r="A1723" t="s">
        <v>996</v>
      </c>
      <c r="B1723" t="s">
        <v>344</v>
      </c>
      <c r="C1723" t="s">
        <v>997</v>
      </c>
      <c r="D1723">
        <v>919457468</v>
      </c>
      <c r="E1723" t="s">
        <v>9</v>
      </c>
      <c r="F1723" s="1">
        <v>45302</v>
      </c>
      <c r="G1723" t="s">
        <v>47</v>
      </c>
      <c r="H1723" s="2">
        <v>1911.65</v>
      </c>
      <c r="I1723" t="s">
        <v>25</v>
      </c>
      <c r="J1723" t="s">
        <v>36</v>
      </c>
      <c r="K1723" t="s">
        <v>12</v>
      </c>
    </row>
    <row r="1724" spans="1:11" x14ac:dyDescent="0.25">
      <c r="A1724" t="s">
        <v>1280</v>
      </c>
      <c r="B1724" t="s">
        <v>230</v>
      </c>
      <c r="C1724" t="s">
        <v>1281</v>
      </c>
      <c r="D1724">
        <v>865720278</v>
      </c>
      <c r="E1724" t="s">
        <v>9</v>
      </c>
      <c r="F1724" s="1">
        <v>45359</v>
      </c>
      <c r="G1724" t="s">
        <v>440</v>
      </c>
      <c r="H1724" s="2">
        <v>1779.54</v>
      </c>
      <c r="I1724" t="s">
        <v>25</v>
      </c>
      <c r="J1724" t="s">
        <v>22</v>
      </c>
      <c r="K1724" t="s">
        <v>12</v>
      </c>
    </row>
    <row r="1725" spans="1:11" x14ac:dyDescent="0.25">
      <c r="A1725" t="s">
        <v>1400</v>
      </c>
      <c r="B1725" t="s">
        <v>65</v>
      </c>
      <c r="C1725" t="s">
        <v>1401</v>
      </c>
      <c r="D1725">
        <v>739254068</v>
      </c>
      <c r="E1725" t="s">
        <v>18</v>
      </c>
      <c r="F1725" s="1">
        <v>45694</v>
      </c>
      <c r="G1725" t="s">
        <v>440</v>
      </c>
      <c r="H1725" s="2">
        <v>1857.88</v>
      </c>
      <c r="I1725" t="s">
        <v>444</v>
      </c>
      <c r="J1725" t="s">
        <v>33</v>
      </c>
      <c r="K1725" t="s">
        <v>12</v>
      </c>
    </row>
    <row r="1726" spans="1:11" x14ac:dyDescent="0.25">
      <c r="A1726" t="s">
        <v>856</v>
      </c>
      <c r="B1726" t="s">
        <v>97</v>
      </c>
      <c r="C1726" t="s">
        <v>857</v>
      </c>
      <c r="D1726">
        <v>748297259</v>
      </c>
      <c r="E1726" t="s">
        <v>9</v>
      </c>
      <c r="F1726" s="1">
        <v>45448</v>
      </c>
      <c r="G1726" t="s">
        <v>35</v>
      </c>
      <c r="H1726" s="2">
        <v>898.02</v>
      </c>
      <c r="I1726" t="s">
        <v>25</v>
      </c>
      <c r="J1726" t="s">
        <v>22</v>
      </c>
      <c r="K1726" t="s">
        <v>12</v>
      </c>
    </row>
    <row r="1727" spans="1:11" x14ac:dyDescent="0.25">
      <c r="A1727" t="s">
        <v>1207</v>
      </c>
      <c r="B1727" t="s">
        <v>243</v>
      </c>
      <c r="C1727" t="s">
        <v>1208</v>
      </c>
      <c r="D1727">
        <v>809355979</v>
      </c>
      <c r="E1727" t="s">
        <v>9</v>
      </c>
      <c r="F1727" s="1">
        <v>45398</v>
      </c>
      <c r="G1727" t="s">
        <v>14</v>
      </c>
      <c r="H1727" s="2">
        <v>1141.6500000000001</v>
      </c>
      <c r="I1727" t="s">
        <v>25</v>
      </c>
      <c r="J1727" t="s">
        <v>22</v>
      </c>
      <c r="K1727" t="s">
        <v>16</v>
      </c>
    </row>
    <row r="1728" spans="1:11" x14ac:dyDescent="0.25">
      <c r="A1728" t="s">
        <v>841</v>
      </c>
      <c r="B1728" t="s">
        <v>275</v>
      </c>
      <c r="C1728" t="s">
        <v>842</v>
      </c>
      <c r="D1728">
        <v>709339074</v>
      </c>
      <c r="E1728" t="s">
        <v>9</v>
      </c>
      <c r="F1728" s="1">
        <v>45856</v>
      </c>
      <c r="G1728" t="s">
        <v>460</v>
      </c>
      <c r="H1728" s="2">
        <v>506.92</v>
      </c>
      <c r="I1728" t="s">
        <v>25</v>
      </c>
      <c r="J1728" t="s">
        <v>11</v>
      </c>
      <c r="K1728" t="s">
        <v>16</v>
      </c>
    </row>
    <row r="1729" spans="1:11" x14ac:dyDescent="0.25">
      <c r="A1729" t="s">
        <v>1180</v>
      </c>
      <c r="B1729" t="s">
        <v>246</v>
      </c>
      <c r="C1729" t="s">
        <v>1181</v>
      </c>
      <c r="D1729">
        <v>974043470</v>
      </c>
      <c r="E1729" t="s">
        <v>18</v>
      </c>
      <c r="F1729" s="1">
        <v>45796</v>
      </c>
      <c r="G1729" t="s">
        <v>415</v>
      </c>
      <c r="H1729" s="2">
        <v>832.56</v>
      </c>
      <c r="I1729" t="s">
        <v>25</v>
      </c>
      <c r="J1729" t="s">
        <v>26</v>
      </c>
      <c r="K1729" t="s">
        <v>12</v>
      </c>
    </row>
    <row r="1730" spans="1:11" x14ac:dyDescent="0.25">
      <c r="A1730" t="s">
        <v>1139</v>
      </c>
      <c r="B1730" t="s">
        <v>217</v>
      </c>
      <c r="C1730" t="s">
        <v>1140</v>
      </c>
      <c r="D1730">
        <v>646689911</v>
      </c>
      <c r="E1730" t="s">
        <v>9</v>
      </c>
      <c r="F1730" s="1">
        <v>45425</v>
      </c>
      <c r="G1730" t="s">
        <v>10</v>
      </c>
      <c r="H1730" s="2">
        <v>1334.39</v>
      </c>
      <c r="I1730" t="s">
        <v>25</v>
      </c>
      <c r="J1730" t="s">
        <v>15</v>
      </c>
      <c r="K1730" t="s">
        <v>12</v>
      </c>
    </row>
    <row r="1731" spans="1:11" x14ac:dyDescent="0.25">
      <c r="A1731" t="s">
        <v>1338</v>
      </c>
      <c r="B1731" t="s">
        <v>350</v>
      </c>
      <c r="C1731" t="s">
        <v>1339</v>
      </c>
      <c r="D1731">
        <v>713916093</v>
      </c>
      <c r="E1731" t="s">
        <v>9</v>
      </c>
      <c r="F1731" s="1">
        <v>45899</v>
      </c>
      <c r="G1731" t="s">
        <v>423</v>
      </c>
      <c r="H1731" s="2">
        <v>241.94</v>
      </c>
      <c r="I1731" t="s">
        <v>25</v>
      </c>
      <c r="J1731" t="s">
        <v>26</v>
      </c>
      <c r="K1731" t="s">
        <v>16</v>
      </c>
    </row>
    <row r="1732" spans="1:11" x14ac:dyDescent="0.25">
      <c r="A1732" t="s">
        <v>593</v>
      </c>
      <c r="B1732" t="s">
        <v>404</v>
      </c>
      <c r="C1732" t="s">
        <v>594</v>
      </c>
      <c r="D1732">
        <v>703546596</v>
      </c>
      <c r="E1732" t="s">
        <v>18</v>
      </c>
      <c r="F1732" s="1">
        <v>45714</v>
      </c>
      <c r="G1732" t="s">
        <v>451</v>
      </c>
      <c r="H1732" s="2">
        <v>1043.73</v>
      </c>
      <c r="I1732" t="s">
        <v>25</v>
      </c>
      <c r="J1732" t="s">
        <v>11</v>
      </c>
      <c r="K1732" t="s">
        <v>16</v>
      </c>
    </row>
    <row r="1733" spans="1:11" x14ac:dyDescent="0.25">
      <c r="A1733" t="s">
        <v>584</v>
      </c>
      <c r="B1733" t="s">
        <v>68</v>
      </c>
      <c r="C1733" t="s">
        <v>585</v>
      </c>
      <c r="D1733">
        <v>699605788</v>
      </c>
      <c r="E1733" t="s">
        <v>18</v>
      </c>
      <c r="F1733" s="1">
        <v>45862</v>
      </c>
      <c r="G1733" t="s">
        <v>440</v>
      </c>
      <c r="H1733" s="2">
        <v>948.58</v>
      </c>
      <c r="I1733" t="s">
        <v>25</v>
      </c>
      <c r="J1733" t="s">
        <v>11</v>
      </c>
      <c r="K1733" t="s">
        <v>16</v>
      </c>
    </row>
    <row r="1734" spans="1:11" x14ac:dyDescent="0.25">
      <c r="A1734" t="s">
        <v>1535</v>
      </c>
      <c r="B1734" t="s">
        <v>296</v>
      </c>
      <c r="C1734" t="s">
        <v>1536</v>
      </c>
      <c r="D1734">
        <v>650283493</v>
      </c>
      <c r="E1734" t="s">
        <v>18</v>
      </c>
      <c r="F1734" s="1">
        <v>45468</v>
      </c>
      <c r="G1734" t="s">
        <v>24</v>
      </c>
      <c r="H1734" s="2">
        <v>39.090000000000003</v>
      </c>
      <c r="I1734" t="s">
        <v>25</v>
      </c>
      <c r="J1734" t="s">
        <v>11</v>
      </c>
      <c r="K1734" t="s">
        <v>16</v>
      </c>
    </row>
    <row r="1735" spans="1:11" x14ac:dyDescent="0.25">
      <c r="A1735" t="s">
        <v>1151</v>
      </c>
      <c r="B1735" t="s">
        <v>396</v>
      </c>
      <c r="C1735" t="s">
        <v>1152</v>
      </c>
      <c r="D1735">
        <v>741286548</v>
      </c>
      <c r="E1735" t="s">
        <v>18</v>
      </c>
      <c r="F1735" s="1">
        <v>45637</v>
      </c>
      <c r="G1735" t="s">
        <v>443</v>
      </c>
      <c r="H1735" s="2">
        <v>665.78</v>
      </c>
      <c r="I1735" t="s">
        <v>25</v>
      </c>
      <c r="J1735" t="s">
        <v>11</v>
      </c>
      <c r="K1735" t="s">
        <v>12</v>
      </c>
    </row>
    <row r="1736" spans="1:11" x14ac:dyDescent="0.25">
      <c r="A1736" t="s">
        <v>1012</v>
      </c>
      <c r="B1736" t="s">
        <v>192</v>
      </c>
      <c r="C1736" t="s">
        <v>1013</v>
      </c>
      <c r="D1736">
        <v>735892521</v>
      </c>
      <c r="E1736" t="s">
        <v>18</v>
      </c>
      <c r="F1736" s="1">
        <v>45860</v>
      </c>
      <c r="G1736" t="s">
        <v>412</v>
      </c>
      <c r="H1736" s="2">
        <v>1660.47</v>
      </c>
      <c r="I1736" t="s">
        <v>444</v>
      </c>
      <c r="J1736" t="s">
        <v>36</v>
      </c>
      <c r="K1736" t="s">
        <v>16</v>
      </c>
    </row>
    <row r="1737" spans="1:11" x14ac:dyDescent="0.25">
      <c r="A1737" t="s">
        <v>808</v>
      </c>
      <c r="B1737" t="s">
        <v>578</v>
      </c>
      <c r="C1737" t="s">
        <v>809</v>
      </c>
      <c r="D1737">
        <v>741558653</v>
      </c>
      <c r="E1737" t="s">
        <v>9</v>
      </c>
      <c r="F1737" s="1">
        <v>45613</v>
      </c>
      <c r="G1737" t="s">
        <v>14</v>
      </c>
      <c r="H1737" s="2">
        <v>1186.4000000000001</v>
      </c>
      <c r="I1737" t="s">
        <v>25</v>
      </c>
      <c r="J1737" t="s">
        <v>22</v>
      </c>
      <c r="K1737" t="s">
        <v>16</v>
      </c>
    </row>
    <row r="1738" spans="1:11" x14ac:dyDescent="0.25">
      <c r="A1738" t="s">
        <v>612</v>
      </c>
      <c r="B1738" t="s">
        <v>308</v>
      </c>
      <c r="C1738" t="s">
        <v>613</v>
      </c>
      <c r="D1738">
        <v>702654485</v>
      </c>
      <c r="E1738" t="s">
        <v>9</v>
      </c>
      <c r="F1738" s="1">
        <v>45407</v>
      </c>
      <c r="G1738" t="s">
        <v>418</v>
      </c>
      <c r="H1738" s="2">
        <v>1722.98</v>
      </c>
      <c r="I1738" t="s">
        <v>25</v>
      </c>
      <c r="J1738" t="s">
        <v>33</v>
      </c>
      <c r="K1738" t="s">
        <v>12</v>
      </c>
    </row>
    <row r="1739" spans="1:11" x14ac:dyDescent="0.25">
      <c r="A1739" t="s">
        <v>484</v>
      </c>
      <c r="B1739" t="s">
        <v>111</v>
      </c>
      <c r="C1739" t="s">
        <v>485</v>
      </c>
      <c r="D1739">
        <v>826663368</v>
      </c>
      <c r="E1739" t="s">
        <v>18</v>
      </c>
      <c r="F1739" s="1">
        <v>45506</v>
      </c>
      <c r="G1739" t="s">
        <v>415</v>
      </c>
      <c r="H1739" s="2">
        <v>132.75</v>
      </c>
      <c r="I1739" t="s">
        <v>25</v>
      </c>
      <c r="J1739" t="s">
        <v>11</v>
      </c>
      <c r="K1739" t="s">
        <v>16</v>
      </c>
    </row>
    <row r="1740" spans="1:11" x14ac:dyDescent="0.25">
      <c r="A1740" t="s">
        <v>992</v>
      </c>
      <c r="B1740" t="s">
        <v>83</v>
      </c>
      <c r="C1740" t="s">
        <v>993</v>
      </c>
      <c r="D1740">
        <v>721305080</v>
      </c>
      <c r="E1740" t="s">
        <v>13</v>
      </c>
      <c r="F1740" s="1">
        <v>45891</v>
      </c>
      <c r="G1740" t="s">
        <v>39</v>
      </c>
      <c r="H1740" s="2">
        <v>599.6</v>
      </c>
      <c r="I1740" t="s">
        <v>25</v>
      </c>
      <c r="J1740" t="s">
        <v>26</v>
      </c>
      <c r="K1740" t="s">
        <v>12</v>
      </c>
    </row>
    <row r="1741" spans="1:11" x14ac:dyDescent="0.25">
      <c r="A1741" t="s">
        <v>881</v>
      </c>
      <c r="B1741" t="s">
        <v>123</v>
      </c>
      <c r="C1741" t="s">
        <v>882</v>
      </c>
      <c r="D1741">
        <v>728581458</v>
      </c>
      <c r="E1741" t="s">
        <v>9</v>
      </c>
      <c r="F1741" s="1">
        <v>45753</v>
      </c>
      <c r="G1741" t="s">
        <v>35</v>
      </c>
      <c r="H1741" s="2">
        <v>1011.23</v>
      </c>
      <c r="I1741" t="s">
        <v>25</v>
      </c>
      <c r="J1741" t="s">
        <v>22</v>
      </c>
      <c r="K1741" t="s">
        <v>12</v>
      </c>
    </row>
    <row r="1742" spans="1:11" x14ac:dyDescent="0.25">
      <c r="A1742" t="s">
        <v>1096</v>
      </c>
      <c r="B1742" t="s">
        <v>112</v>
      </c>
      <c r="C1742" t="s">
        <v>1097</v>
      </c>
      <c r="D1742">
        <v>733329234</v>
      </c>
      <c r="E1742" t="s">
        <v>18</v>
      </c>
      <c r="F1742" s="1">
        <v>45305</v>
      </c>
      <c r="G1742" t="s">
        <v>478</v>
      </c>
      <c r="H1742" s="2">
        <v>651.79999999999995</v>
      </c>
      <c r="I1742" t="s">
        <v>25</v>
      </c>
      <c r="J1742" t="s">
        <v>26</v>
      </c>
      <c r="K1742" t="s">
        <v>12</v>
      </c>
    </row>
    <row r="1743" spans="1:11" x14ac:dyDescent="0.25">
      <c r="A1743" t="s">
        <v>1076</v>
      </c>
      <c r="B1743" t="s">
        <v>87</v>
      </c>
      <c r="C1743" t="s">
        <v>1077</v>
      </c>
      <c r="D1743">
        <v>996771143</v>
      </c>
      <c r="E1743" t="s">
        <v>9</v>
      </c>
      <c r="F1743" s="1">
        <v>45831</v>
      </c>
      <c r="G1743" t="s">
        <v>14</v>
      </c>
      <c r="H1743" s="2">
        <v>1026.23</v>
      </c>
      <c r="I1743" t="s">
        <v>25</v>
      </c>
      <c r="J1743" t="s">
        <v>36</v>
      </c>
      <c r="K1743" t="s">
        <v>16</v>
      </c>
    </row>
    <row r="1744" spans="1:11" x14ac:dyDescent="0.25">
      <c r="A1744" t="s">
        <v>1259</v>
      </c>
      <c r="B1744" t="s">
        <v>76</v>
      </c>
      <c r="C1744" t="s">
        <v>1260</v>
      </c>
      <c r="D1744">
        <v>942844383</v>
      </c>
      <c r="E1744" t="s">
        <v>9</v>
      </c>
      <c r="F1744" s="1">
        <v>45821</v>
      </c>
      <c r="G1744" t="s">
        <v>32</v>
      </c>
      <c r="H1744" s="2">
        <v>1315.09</v>
      </c>
      <c r="I1744" t="s">
        <v>25</v>
      </c>
      <c r="J1744" t="s">
        <v>36</v>
      </c>
      <c r="K1744" t="s">
        <v>16</v>
      </c>
    </row>
    <row r="1745" spans="1:11" x14ac:dyDescent="0.25">
      <c r="A1745" t="s">
        <v>1474</v>
      </c>
      <c r="B1745" t="s">
        <v>303</v>
      </c>
      <c r="C1745" t="s">
        <v>1475</v>
      </c>
      <c r="D1745">
        <v>913698982</v>
      </c>
      <c r="E1745" t="s">
        <v>18</v>
      </c>
      <c r="F1745" s="1">
        <v>45730</v>
      </c>
      <c r="G1745" t="s">
        <v>47</v>
      </c>
      <c r="H1745" s="2">
        <v>1419.86</v>
      </c>
      <c r="I1745" t="s">
        <v>25</v>
      </c>
      <c r="J1745" t="s">
        <v>33</v>
      </c>
      <c r="K1745" t="s">
        <v>12</v>
      </c>
    </row>
    <row r="1746" spans="1:11" x14ac:dyDescent="0.25">
      <c r="A1746" t="s">
        <v>519</v>
      </c>
      <c r="B1746" t="s">
        <v>119</v>
      </c>
      <c r="C1746" t="s">
        <v>520</v>
      </c>
      <c r="D1746">
        <v>706921192</v>
      </c>
      <c r="E1746" t="s">
        <v>13</v>
      </c>
      <c r="F1746" s="1">
        <v>45652</v>
      </c>
      <c r="G1746" t="s">
        <v>24</v>
      </c>
      <c r="H1746" s="2">
        <v>1892.45</v>
      </c>
      <c r="I1746" t="s">
        <v>25</v>
      </c>
      <c r="J1746" t="s">
        <v>11</v>
      </c>
      <c r="K1746" t="s">
        <v>12</v>
      </c>
    </row>
    <row r="1747" spans="1:11" x14ac:dyDescent="0.25">
      <c r="A1747" t="s">
        <v>633</v>
      </c>
      <c r="B1747" t="s">
        <v>397</v>
      </c>
      <c r="C1747" t="s">
        <v>634</v>
      </c>
      <c r="D1747">
        <v>749804420</v>
      </c>
      <c r="E1747" t="s">
        <v>18</v>
      </c>
      <c r="F1747" s="1">
        <v>45280</v>
      </c>
      <c r="G1747" t="s">
        <v>624</v>
      </c>
      <c r="H1747" s="2">
        <v>731.7</v>
      </c>
      <c r="I1747" t="s">
        <v>25</v>
      </c>
      <c r="J1747" t="s">
        <v>11</v>
      </c>
      <c r="K1747" t="s">
        <v>12</v>
      </c>
    </row>
    <row r="1748" spans="1:11" x14ac:dyDescent="0.25">
      <c r="A1748" t="s">
        <v>1537</v>
      </c>
      <c r="B1748" t="s">
        <v>177</v>
      </c>
      <c r="C1748" t="s">
        <v>1538</v>
      </c>
      <c r="D1748">
        <v>734239782</v>
      </c>
      <c r="E1748" t="s">
        <v>9</v>
      </c>
      <c r="F1748" s="1">
        <v>45480</v>
      </c>
      <c r="G1748" t="s">
        <v>440</v>
      </c>
      <c r="H1748" s="2">
        <v>875.52</v>
      </c>
      <c r="I1748" t="s">
        <v>25</v>
      </c>
      <c r="J1748" t="s">
        <v>33</v>
      </c>
      <c r="K1748" t="s">
        <v>16</v>
      </c>
    </row>
    <row r="1749" spans="1:11" x14ac:dyDescent="0.25">
      <c r="A1749" t="s">
        <v>1255</v>
      </c>
      <c r="B1749" t="s">
        <v>259</v>
      </c>
      <c r="C1749" t="s">
        <v>1256</v>
      </c>
      <c r="D1749">
        <v>805450275</v>
      </c>
      <c r="E1749" t="s">
        <v>13</v>
      </c>
      <c r="F1749" s="1">
        <v>45257</v>
      </c>
      <c r="G1749" t="s">
        <v>475</v>
      </c>
      <c r="H1749" s="2">
        <v>605.24</v>
      </c>
      <c r="I1749" t="s">
        <v>444</v>
      </c>
      <c r="J1749" t="s">
        <v>33</v>
      </c>
      <c r="K1749" t="s">
        <v>16</v>
      </c>
    </row>
    <row r="1750" spans="1:11" x14ac:dyDescent="0.25">
      <c r="A1750" t="s">
        <v>629</v>
      </c>
      <c r="B1750" t="s">
        <v>62</v>
      </c>
      <c r="C1750" t="s">
        <v>630</v>
      </c>
      <c r="D1750">
        <v>649943369</v>
      </c>
      <c r="E1750" t="s">
        <v>18</v>
      </c>
      <c r="F1750" s="1">
        <v>45708</v>
      </c>
      <c r="G1750" t="s">
        <v>21</v>
      </c>
      <c r="H1750" s="2">
        <v>734.11</v>
      </c>
      <c r="I1750" t="s">
        <v>25</v>
      </c>
      <c r="J1750" t="s">
        <v>36</v>
      </c>
      <c r="K1750" t="s">
        <v>16</v>
      </c>
    </row>
    <row r="1751" spans="1:11" x14ac:dyDescent="0.25">
      <c r="A1751" t="s">
        <v>1153</v>
      </c>
      <c r="B1751" t="s">
        <v>1046</v>
      </c>
      <c r="C1751" t="s">
        <v>1154</v>
      </c>
      <c r="D1751">
        <v>717920847</v>
      </c>
      <c r="E1751" t="s">
        <v>9</v>
      </c>
      <c r="F1751" s="1">
        <v>45735</v>
      </c>
      <c r="G1751" t="s">
        <v>440</v>
      </c>
      <c r="H1751" s="2">
        <v>67.02</v>
      </c>
      <c r="I1751" t="s">
        <v>25</v>
      </c>
      <c r="J1751" t="s">
        <v>22</v>
      </c>
      <c r="K1751" t="s">
        <v>16</v>
      </c>
    </row>
    <row r="1752" spans="1:11" x14ac:dyDescent="0.25">
      <c r="A1752" t="s">
        <v>523</v>
      </c>
      <c r="B1752" t="s">
        <v>94</v>
      </c>
      <c r="C1752" t="s">
        <v>524</v>
      </c>
      <c r="D1752">
        <v>708646101</v>
      </c>
      <c r="E1752" t="s">
        <v>9</v>
      </c>
      <c r="F1752" s="1">
        <v>45306</v>
      </c>
      <c r="G1752" t="s">
        <v>412</v>
      </c>
      <c r="H1752" s="2">
        <v>224.05</v>
      </c>
      <c r="I1752" t="s">
        <v>507</v>
      </c>
      <c r="J1752" t="s">
        <v>22</v>
      </c>
      <c r="K1752" t="s">
        <v>12</v>
      </c>
    </row>
    <row r="1753" spans="1:11" x14ac:dyDescent="0.25">
      <c r="A1753" t="s">
        <v>1052</v>
      </c>
      <c r="B1753" t="s">
        <v>152</v>
      </c>
      <c r="C1753" t="s">
        <v>1053</v>
      </c>
      <c r="D1753">
        <v>996279256</v>
      </c>
      <c r="E1753" t="s">
        <v>9</v>
      </c>
      <c r="F1753" s="1">
        <v>45573</v>
      </c>
      <c r="G1753" t="s">
        <v>478</v>
      </c>
      <c r="H1753" s="2">
        <v>871.51</v>
      </c>
      <c r="I1753" t="s">
        <v>25</v>
      </c>
      <c r="J1753" t="s">
        <v>11</v>
      </c>
      <c r="K1753" t="s">
        <v>12</v>
      </c>
    </row>
    <row r="1754" spans="1:11" x14ac:dyDescent="0.25">
      <c r="A1754" t="s">
        <v>1153</v>
      </c>
      <c r="B1754" t="s">
        <v>1046</v>
      </c>
      <c r="C1754" t="s">
        <v>1154</v>
      </c>
      <c r="D1754">
        <v>717920847</v>
      </c>
      <c r="E1754" t="s">
        <v>9</v>
      </c>
      <c r="F1754" s="1">
        <v>45838</v>
      </c>
      <c r="G1754" t="s">
        <v>440</v>
      </c>
      <c r="H1754" s="2">
        <v>1662.32</v>
      </c>
      <c r="I1754" t="s">
        <v>25</v>
      </c>
      <c r="J1754" t="s">
        <v>26</v>
      </c>
      <c r="K1754" t="s">
        <v>16</v>
      </c>
    </row>
    <row r="1755" spans="1:11" x14ac:dyDescent="0.25">
      <c r="A1755" t="s">
        <v>479</v>
      </c>
      <c r="B1755" t="s">
        <v>480</v>
      </c>
      <c r="C1755" t="s">
        <v>481</v>
      </c>
      <c r="D1755">
        <v>727899933</v>
      </c>
      <c r="E1755" t="s">
        <v>18</v>
      </c>
      <c r="F1755" s="1">
        <v>45681</v>
      </c>
      <c r="G1755" t="s">
        <v>443</v>
      </c>
      <c r="H1755" s="2">
        <v>1953</v>
      </c>
      <c r="I1755" t="s">
        <v>25</v>
      </c>
      <c r="J1755" t="s">
        <v>33</v>
      </c>
      <c r="K1755" t="s">
        <v>12</v>
      </c>
    </row>
    <row r="1756" spans="1:11" x14ac:dyDescent="0.25">
      <c r="A1756" t="s">
        <v>1500</v>
      </c>
      <c r="B1756" t="s">
        <v>173</v>
      </c>
      <c r="C1756" t="s">
        <v>1501</v>
      </c>
      <c r="D1756">
        <v>856224115</v>
      </c>
      <c r="E1756" t="s">
        <v>18</v>
      </c>
      <c r="F1756" s="1">
        <v>45900</v>
      </c>
      <c r="G1756" t="s">
        <v>475</v>
      </c>
      <c r="H1756" s="2">
        <v>518.79999999999995</v>
      </c>
      <c r="I1756" t="s">
        <v>25</v>
      </c>
      <c r="J1756" t="s">
        <v>22</v>
      </c>
      <c r="K1756" t="s">
        <v>12</v>
      </c>
    </row>
    <row r="1757" spans="1:11" x14ac:dyDescent="0.25">
      <c r="A1757" t="s">
        <v>1198</v>
      </c>
      <c r="B1757" t="s">
        <v>1199</v>
      </c>
      <c r="C1757" t="s">
        <v>1200</v>
      </c>
      <c r="D1757">
        <v>927530563</v>
      </c>
      <c r="E1757" t="s">
        <v>9</v>
      </c>
      <c r="F1757" s="1">
        <v>45498</v>
      </c>
      <c r="G1757" t="s">
        <v>440</v>
      </c>
      <c r="H1757" s="2">
        <v>1957.04</v>
      </c>
      <c r="I1757" t="s">
        <v>25</v>
      </c>
      <c r="J1757" t="s">
        <v>22</v>
      </c>
      <c r="K1757" t="s">
        <v>16</v>
      </c>
    </row>
    <row r="1758" spans="1:11" x14ac:dyDescent="0.25">
      <c r="A1758" t="s">
        <v>664</v>
      </c>
      <c r="B1758" t="s">
        <v>80</v>
      </c>
      <c r="C1758" t="s">
        <v>665</v>
      </c>
      <c r="D1758">
        <v>622023254</v>
      </c>
      <c r="E1758" t="s">
        <v>9</v>
      </c>
      <c r="F1758" s="1">
        <v>45210</v>
      </c>
      <c r="G1758" t="s">
        <v>32</v>
      </c>
      <c r="H1758" s="2">
        <v>330.25</v>
      </c>
      <c r="I1758" t="s">
        <v>25</v>
      </c>
      <c r="J1758" t="s">
        <v>11</v>
      </c>
      <c r="K1758" t="s">
        <v>12</v>
      </c>
    </row>
    <row r="1759" spans="1:11" x14ac:dyDescent="0.25">
      <c r="A1759" t="s">
        <v>1234</v>
      </c>
      <c r="B1759" t="s">
        <v>331</v>
      </c>
      <c r="C1759" t="s">
        <v>1235</v>
      </c>
      <c r="D1759">
        <v>877322134</v>
      </c>
      <c r="E1759" t="s">
        <v>18</v>
      </c>
      <c r="F1759" s="1">
        <v>45583</v>
      </c>
      <c r="G1759" t="s">
        <v>21</v>
      </c>
      <c r="H1759" s="2">
        <v>340.55</v>
      </c>
      <c r="I1759" t="s">
        <v>25</v>
      </c>
      <c r="J1759" t="s">
        <v>11</v>
      </c>
      <c r="K1759" t="s">
        <v>12</v>
      </c>
    </row>
    <row r="1760" spans="1:11" x14ac:dyDescent="0.25">
      <c r="A1760" t="s">
        <v>1060</v>
      </c>
      <c r="B1760" t="s">
        <v>238</v>
      </c>
      <c r="C1760" t="s">
        <v>1061</v>
      </c>
      <c r="D1760">
        <v>971399015</v>
      </c>
      <c r="E1760" t="s">
        <v>18</v>
      </c>
      <c r="F1760" s="1">
        <v>45763</v>
      </c>
      <c r="G1760" t="s">
        <v>518</v>
      </c>
      <c r="H1760" s="2">
        <v>1775.62</v>
      </c>
      <c r="I1760" t="s">
        <v>25</v>
      </c>
      <c r="J1760" t="s">
        <v>11</v>
      </c>
      <c r="K1760" t="s">
        <v>16</v>
      </c>
    </row>
    <row r="1761" spans="1:11" x14ac:dyDescent="0.25">
      <c r="A1761" t="s">
        <v>1334</v>
      </c>
      <c r="B1761" t="s">
        <v>1293</v>
      </c>
      <c r="C1761" t="s">
        <v>1335</v>
      </c>
      <c r="D1761">
        <v>990539729</v>
      </c>
      <c r="E1761" t="s">
        <v>9</v>
      </c>
      <c r="F1761" s="1">
        <v>45550</v>
      </c>
      <c r="G1761" t="s">
        <v>14</v>
      </c>
      <c r="H1761" s="2">
        <v>344.19</v>
      </c>
      <c r="I1761" t="s">
        <v>25</v>
      </c>
      <c r="J1761" t="s">
        <v>22</v>
      </c>
      <c r="K1761" t="s">
        <v>16</v>
      </c>
    </row>
    <row r="1762" spans="1:11" x14ac:dyDescent="0.25">
      <c r="A1762" t="s">
        <v>1155</v>
      </c>
      <c r="B1762" t="s">
        <v>218</v>
      </c>
      <c r="C1762" t="s">
        <v>1156</v>
      </c>
      <c r="D1762">
        <v>703370540</v>
      </c>
      <c r="E1762" t="s">
        <v>9</v>
      </c>
      <c r="F1762" s="1">
        <v>45579</v>
      </c>
      <c r="G1762" t="s">
        <v>35</v>
      </c>
      <c r="H1762" s="2">
        <v>970.69</v>
      </c>
      <c r="I1762" t="s">
        <v>25</v>
      </c>
      <c r="J1762" t="s">
        <v>33</v>
      </c>
      <c r="K1762" t="s">
        <v>16</v>
      </c>
    </row>
    <row r="1763" spans="1:11" x14ac:dyDescent="0.25">
      <c r="A1763" t="s">
        <v>500</v>
      </c>
      <c r="B1763" t="s">
        <v>158</v>
      </c>
      <c r="C1763" t="s">
        <v>501</v>
      </c>
      <c r="D1763">
        <v>700258650</v>
      </c>
      <c r="E1763" t="s">
        <v>9</v>
      </c>
      <c r="F1763" s="1">
        <v>45808</v>
      </c>
      <c r="G1763" t="s">
        <v>412</v>
      </c>
      <c r="H1763" s="2">
        <v>1110.46</v>
      </c>
      <c r="I1763" t="s">
        <v>25</v>
      </c>
      <c r="J1763" t="s">
        <v>22</v>
      </c>
      <c r="K1763" t="s">
        <v>16</v>
      </c>
    </row>
    <row r="1764" spans="1:11" x14ac:dyDescent="0.25">
      <c r="A1764" t="s">
        <v>1511</v>
      </c>
      <c r="B1764" t="s">
        <v>41</v>
      </c>
      <c r="C1764" t="s">
        <v>1512</v>
      </c>
      <c r="D1764">
        <v>727299226</v>
      </c>
      <c r="E1764" t="s">
        <v>9</v>
      </c>
      <c r="F1764" s="1">
        <v>45294</v>
      </c>
      <c r="G1764" t="s">
        <v>24</v>
      </c>
      <c r="H1764" s="2">
        <v>1488.43</v>
      </c>
      <c r="I1764" t="s">
        <v>25</v>
      </c>
      <c r="J1764" t="s">
        <v>22</v>
      </c>
      <c r="K1764" t="s">
        <v>12</v>
      </c>
    </row>
    <row r="1765" spans="1:11" x14ac:dyDescent="0.25">
      <c r="A1765" t="s">
        <v>410</v>
      </c>
      <c r="B1765" t="s">
        <v>270</v>
      </c>
      <c r="C1765" t="s">
        <v>411</v>
      </c>
      <c r="D1765">
        <v>635181298</v>
      </c>
      <c r="E1765" t="s">
        <v>9</v>
      </c>
      <c r="F1765" s="1">
        <v>45711</v>
      </c>
      <c r="G1765" t="s">
        <v>412</v>
      </c>
      <c r="H1765" s="2">
        <v>461.6</v>
      </c>
      <c r="I1765" t="s">
        <v>507</v>
      </c>
      <c r="J1765" t="s">
        <v>22</v>
      </c>
      <c r="K1765" t="s">
        <v>16</v>
      </c>
    </row>
    <row r="1766" spans="1:11" x14ac:dyDescent="0.25">
      <c r="A1766" t="s">
        <v>1521</v>
      </c>
      <c r="B1766" t="s">
        <v>136</v>
      </c>
      <c r="C1766" t="s">
        <v>1522</v>
      </c>
      <c r="D1766">
        <v>724379169</v>
      </c>
      <c r="E1766" t="s">
        <v>18</v>
      </c>
      <c r="F1766" s="1">
        <v>45422</v>
      </c>
      <c r="G1766" t="s">
        <v>506</v>
      </c>
      <c r="H1766" s="2">
        <v>268.60000000000002</v>
      </c>
      <c r="I1766" t="s">
        <v>25</v>
      </c>
      <c r="J1766" t="s">
        <v>33</v>
      </c>
      <c r="K1766" t="s">
        <v>12</v>
      </c>
    </row>
    <row r="1767" spans="1:11" x14ac:dyDescent="0.25">
      <c r="A1767" t="s">
        <v>928</v>
      </c>
      <c r="B1767" t="s">
        <v>141</v>
      </c>
      <c r="C1767" t="s">
        <v>929</v>
      </c>
      <c r="D1767">
        <v>737596279</v>
      </c>
      <c r="E1767" t="s">
        <v>9</v>
      </c>
      <c r="F1767" s="1">
        <v>45864</v>
      </c>
      <c r="G1767" t="s">
        <v>603</v>
      </c>
      <c r="H1767" s="2">
        <v>1218.8900000000001</v>
      </c>
      <c r="I1767" t="s">
        <v>25</v>
      </c>
      <c r="J1767" t="s">
        <v>22</v>
      </c>
      <c r="K1767" t="s">
        <v>12</v>
      </c>
    </row>
    <row r="1768" spans="1:11" x14ac:dyDescent="0.25">
      <c r="A1768" t="s">
        <v>1539</v>
      </c>
      <c r="B1768" t="s">
        <v>60</v>
      </c>
      <c r="C1768" t="s">
        <v>1540</v>
      </c>
      <c r="D1768">
        <v>851963395</v>
      </c>
      <c r="E1768" t="s">
        <v>9</v>
      </c>
      <c r="F1768" s="1">
        <v>45519</v>
      </c>
      <c r="G1768" t="s">
        <v>32</v>
      </c>
      <c r="H1768" s="2">
        <v>1234.58</v>
      </c>
      <c r="I1768" t="s">
        <v>507</v>
      </c>
      <c r="J1768" t="s">
        <v>22</v>
      </c>
      <c r="K1768" t="s">
        <v>12</v>
      </c>
    </row>
    <row r="1769" spans="1:11" x14ac:dyDescent="0.25">
      <c r="A1769" t="s">
        <v>570</v>
      </c>
      <c r="B1769" t="s">
        <v>571</v>
      </c>
      <c r="C1769" t="s">
        <v>572</v>
      </c>
      <c r="D1769">
        <v>713291022</v>
      </c>
      <c r="E1769" t="s">
        <v>13</v>
      </c>
      <c r="F1769" s="1">
        <v>45527</v>
      </c>
      <c r="G1769" t="s">
        <v>418</v>
      </c>
      <c r="H1769" s="2">
        <v>595.84</v>
      </c>
      <c r="I1769" t="s">
        <v>25</v>
      </c>
      <c r="J1769" t="s">
        <v>36</v>
      </c>
      <c r="K1769" t="s">
        <v>12</v>
      </c>
    </row>
    <row r="1770" spans="1:11" x14ac:dyDescent="0.25">
      <c r="A1770" t="s">
        <v>660</v>
      </c>
      <c r="B1770" t="s">
        <v>325</v>
      </c>
      <c r="C1770" t="s">
        <v>661</v>
      </c>
      <c r="D1770">
        <v>727937300</v>
      </c>
      <c r="E1770" t="s">
        <v>9</v>
      </c>
      <c r="F1770" s="1">
        <v>45702</v>
      </c>
      <c r="G1770" t="s">
        <v>47</v>
      </c>
      <c r="H1770" s="2">
        <v>47.19</v>
      </c>
      <c r="I1770" t="s">
        <v>444</v>
      </c>
      <c r="J1770" t="s">
        <v>15</v>
      </c>
      <c r="K1770" t="s">
        <v>16</v>
      </c>
    </row>
    <row r="1771" spans="1:11" x14ac:dyDescent="0.25">
      <c r="A1771" t="s">
        <v>974</v>
      </c>
      <c r="B1771" t="s">
        <v>199</v>
      </c>
      <c r="C1771" t="s">
        <v>975</v>
      </c>
      <c r="D1771">
        <v>731372618</v>
      </c>
      <c r="E1771" t="s">
        <v>9</v>
      </c>
      <c r="F1771" s="1">
        <v>45519</v>
      </c>
      <c r="G1771" t="s">
        <v>418</v>
      </c>
      <c r="H1771" s="2">
        <v>776.78</v>
      </c>
      <c r="I1771" t="s">
        <v>25</v>
      </c>
      <c r="J1771" t="s">
        <v>22</v>
      </c>
      <c r="K1771" t="s">
        <v>16</v>
      </c>
    </row>
    <row r="1772" spans="1:11" x14ac:dyDescent="0.25">
      <c r="A1772" t="s">
        <v>1537</v>
      </c>
      <c r="B1772" t="s">
        <v>177</v>
      </c>
      <c r="C1772" t="s">
        <v>1538</v>
      </c>
      <c r="D1772">
        <v>734239782</v>
      </c>
      <c r="E1772" t="s">
        <v>9</v>
      </c>
      <c r="F1772" s="1">
        <v>45205</v>
      </c>
      <c r="G1772" t="s">
        <v>440</v>
      </c>
      <c r="H1772" s="2">
        <v>904.02</v>
      </c>
      <c r="I1772" t="s">
        <v>25</v>
      </c>
      <c r="J1772" t="s">
        <v>33</v>
      </c>
      <c r="K1772" t="s">
        <v>12</v>
      </c>
    </row>
    <row r="1773" spans="1:11" x14ac:dyDescent="0.25">
      <c r="A1773" t="s">
        <v>1389</v>
      </c>
      <c r="B1773" t="s">
        <v>272</v>
      </c>
      <c r="C1773" t="s">
        <v>1390</v>
      </c>
      <c r="D1773">
        <v>711020139</v>
      </c>
      <c r="E1773" t="s">
        <v>18</v>
      </c>
      <c r="F1773" s="1">
        <v>45521</v>
      </c>
      <c r="G1773" t="s">
        <v>460</v>
      </c>
      <c r="H1773" s="2">
        <v>630.78</v>
      </c>
      <c r="I1773" t="s">
        <v>25</v>
      </c>
      <c r="J1773" t="s">
        <v>36</v>
      </c>
      <c r="K1773" t="s">
        <v>12</v>
      </c>
    </row>
    <row r="1774" spans="1:11" x14ac:dyDescent="0.25">
      <c r="A1774" t="s">
        <v>599</v>
      </c>
      <c r="B1774" t="s">
        <v>329</v>
      </c>
      <c r="C1774" t="s">
        <v>600</v>
      </c>
      <c r="D1774">
        <v>730479253</v>
      </c>
      <c r="E1774" t="s">
        <v>18</v>
      </c>
      <c r="F1774" s="1">
        <v>45760</v>
      </c>
      <c r="G1774" t="s">
        <v>443</v>
      </c>
      <c r="H1774" s="2">
        <v>1432.44</v>
      </c>
      <c r="I1774" t="s">
        <v>25</v>
      </c>
      <c r="J1774" t="s">
        <v>36</v>
      </c>
      <c r="K1774" t="s">
        <v>12</v>
      </c>
    </row>
    <row r="1775" spans="1:11" x14ac:dyDescent="0.25">
      <c r="A1775" t="s">
        <v>1502</v>
      </c>
      <c r="B1775" t="s">
        <v>297</v>
      </c>
      <c r="C1775" t="s">
        <v>1503</v>
      </c>
      <c r="D1775">
        <v>741614657</v>
      </c>
      <c r="E1775" t="s">
        <v>9</v>
      </c>
      <c r="F1775" s="1">
        <v>45873</v>
      </c>
      <c r="G1775" t="s">
        <v>412</v>
      </c>
      <c r="H1775" s="2">
        <v>454.04</v>
      </c>
      <c r="I1775" t="s">
        <v>25</v>
      </c>
      <c r="J1775" t="s">
        <v>33</v>
      </c>
      <c r="K1775" t="s">
        <v>16</v>
      </c>
    </row>
    <row r="1776" spans="1:11" x14ac:dyDescent="0.25">
      <c r="A1776" t="s">
        <v>1153</v>
      </c>
      <c r="B1776" t="s">
        <v>1046</v>
      </c>
      <c r="C1776" t="s">
        <v>1154</v>
      </c>
      <c r="D1776">
        <v>717920847</v>
      </c>
      <c r="E1776" t="s">
        <v>9</v>
      </c>
      <c r="F1776" s="1">
        <v>45698</v>
      </c>
      <c r="G1776" t="s">
        <v>440</v>
      </c>
      <c r="H1776" s="2">
        <v>411.27</v>
      </c>
      <c r="I1776" t="s">
        <v>507</v>
      </c>
      <c r="J1776" t="s">
        <v>33</v>
      </c>
      <c r="K1776" t="s">
        <v>12</v>
      </c>
    </row>
    <row r="1777" spans="1:11" x14ac:dyDescent="0.25">
      <c r="A1777" t="s">
        <v>1541</v>
      </c>
      <c r="B1777" t="s">
        <v>347</v>
      </c>
      <c r="C1777" t="s">
        <v>1542</v>
      </c>
      <c r="D1777">
        <v>736497821</v>
      </c>
      <c r="E1777" t="s">
        <v>18</v>
      </c>
      <c r="F1777" s="1">
        <v>45672</v>
      </c>
      <c r="G1777" t="s">
        <v>460</v>
      </c>
      <c r="H1777" s="2">
        <v>1743.57</v>
      </c>
      <c r="I1777" t="s">
        <v>25</v>
      </c>
      <c r="J1777" t="s">
        <v>11</v>
      </c>
      <c r="K1777" t="s">
        <v>12</v>
      </c>
    </row>
    <row r="1778" spans="1:11" x14ac:dyDescent="0.25">
      <c r="A1778" t="s">
        <v>1127</v>
      </c>
      <c r="B1778" t="s">
        <v>394</v>
      </c>
      <c r="C1778" t="s">
        <v>1128</v>
      </c>
      <c r="D1778">
        <v>923537231</v>
      </c>
      <c r="E1778" t="s">
        <v>9</v>
      </c>
      <c r="F1778" s="1">
        <v>45690</v>
      </c>
      <c r="G1778" t="s">
        <v>24</v>
      </c>
      <c r="H1778" s="2">
        <v>670.56</v>
      </c>
      <c r="I1778" t="s">
        <v>507</v>
      </c>
      <c r="J1778" t="s">
        <v>36</v>
      </c>
      <c r="K1778" t="s">
        <v>16</v>
      </c>
    </row>
    <row r="1779" spans="1:11" x14ac:dyDescent="0.25">
      <c r="A1779" t="s">
        <v>1110</v>
      </c>
      <c r="B1779" t="s">
        <v>166</v>
      </c>
      <c r="C1779" t="s">
        <v>1111</v>
      </c>
      <c r="D1779">
        <v>723768512</v>
      </c>
      <c r="E1779" t="s">
        <v>9</v>
      </c>
      <c r="F1779" s="1">
        <v>45612</v>
      </c>
      <c r="G1779" t="s">
        <v>32</v>
      </c>
      <c r="H1779" s="2">
        <v>120.95</v>
      </c>
      <c r="I1779" t="s">
        <v>25</v>
      </c>
      <c r="J1779" t="s">
        <v>33</v>
      </c>
      <c r="K1779" t="s">
        <v>12</v>
      </c>
    </row>
    <row r="1780" spans="1:11" x14ac:dyDescent="0.25">
      <c r="A1780" t="s">
        <v>960</v>
      </c>
      <c r="B1780" t="s">
        <v>266</v>
      </c>
      <c r="C1780" t="s">
        <v>961</v>
      </c>
      <c r="D1780">
        <v>854810022</v>
      </c>
      <c r="E1780" t="s">
        <v>18</v>
      </c>
      <c r="F1780" s="1">
        <v>45640</v>
      </c>
      <c r="G1780" t="s">
        <v>460</v>
      </c>
      <c r="H1780" s="2">
        <v>1468.48</v>
      </c>
      <c r="I1780" t="s">
        <v>444</v>
      </c>
      <c r="J1780" t="s">
        <v>11</v>
      </c>
      <c r="K1780" t="s">
        <v>12</v>
      </c>
    </row>
    <row r="1781" spans="1:11" x14ac:dyDescent="0.25">
      <c r="A1781" t="s">
        <v>490</v>
      </c>
      <c r="B1781" t="s">
        <v>394</v>
      </c>
      <c r="C1781" t="s">
        <v>491</v>
      </c>
      <c r="D1781">
        <v>806812397</v>
      </c>
      <c r="E1781" t="s">
        <v>18</v>
      </c>
      <c r="F1781" s="1">
        <v>45909</v>
      </c>
      <c r="G1781" t="s">
        <v>415</v>
      </c>
      <c r="H1781" s="2">
        <v>1139.6199999999999</v>
      </c>
      <c r="I1781" t="s">
        <v>25</v>
      </c>
      <c r="J1781" t="s">
        <v>11</v>
      </c>
      <c r="K1781" t="s">
        <v>16</v>
      </c>
    </row>
    <row r="1782" spans="1:11" x14ac:dyDescent="0.25">
      <c r="A1782" t="s">
        <v>813</v>
      </c>
      <c r="B1782" t="s">
        <v>814</v>
      </c>
      <c r="C1782" t="s">
        <v>815</v>
      </c>
      <c r="D1782">
        <v>741044800</v>
      </c>
      <c r="E1782" t="s">
        <v>9</v>
      </c>
      <c r="F1782" s="1">
        <v>45871</v>
      </c>
      <c r="G1782" t="s">
        <v>19</v>
      </c>
      <c r="H1782" s="2">
        <v>140.24</v>
      </c>
      <c r="I1782" t="s">
        <v>25</v>
      </c>
      <c r="J1782" t="s">
        <v>33</v>
      </c>
      <c r="K1782" t="s">
        <v>12</v>
      </c>
    </row>
    <row r="1783" spans="1:11" x14ac:dyDescent="0.25">
      <c r="A1783" t="s">
        <v>1137</v>
      </c>
      <c r="B1783" t="s">
        <v>37</v>
      </c>
      <c r="C1783" t="s">
        <v>1138</v>
      </c>
      <c r="D1783">
        <v>840470316</v>
      </c>
      <c r="E1783" t="s">
        <v>18</v>
      </c>
      <c r="F1783" s="1">
        <v>45605</v>
      </c>
      <c r="G1783" t="s">
        <v>412</v>
      </c>
      <c r="H1783" s="2">
        <v>1839.67</v>
      </c>
      <c r="I1783" t="s">
        <v>25</v>
      </c>
      <c r="J1783" t="s">
        <v>36</v>
      </c>
      <c r="K1783" t="s">
        <v>12</v>
      </c>
    </row>
    <row r="1784" spans="1:11" x14ac:dyDescent="0.25">
      <c r="A1784" t="s">
        <v>1151</v>
      </c>
      <c r="B1784" t="s">
        <v>396</v>
      </c>
      <c r="C1784" t="s">
        <v>1152</v>
      </c>
      <c r="D1784">
        <v>741286548</v>
      </c>
      <c r="E1784" t="s">
        <v>18</v>
      </c>
      <c r="F1784" s="1">
        <v>45857</v>
      </c>
      <c r="G1784" t="s">
        <v>443</v>
      </c>
      <c r="H1784" s="2">
        <v>1352.25</v>
      </c>
      <c r="I1784" t="s">
        <v>25</v>
      </c>
      <c r="J1784" t="s">
        <v>33</v>
      </c>
      <c r="K1784" t="s">
        <v>12</v>
      </c>
    </row>
    <row r="1785" spans="1:11" x14ac:dyDescent="0.25">
      <c r="A1785" t="s">
        <v>731</v>
      </c>
      <c r="B1785" t="s">
        <v>65</v>
      </c>
      <c r="C1785" t="s">
        <v>732</v>
      </c>
      <c r="D1785">
        <v>719409141</v>
      </c>
      <c r="E1785" t="s">
        <v>18</v>
      </c>
      <c r="F1785" s="1">
        <v>45678</v>
      </c>
      <c r="G1785" t="s">
        <v>39</v>
      </c>
      <c r="H1785" s="2">
        <v>177.06</v>
      </c>
      <c r="I1785" t="s">
        <v>25</v>
      </c>
      <c r="J1785" t="s">
        <v>22</v>
      </c>
      <c r="K1785" t="s">
        <v>12</v>
      </c>
    </row>
    <row r="1786" spans="1:11" x14ac:dyDescent="0.25">
      <c r="A1786" t="s">
        <v>1543</v>
      </c>
      <c r="B1786" t="s">
        <v>50</v>
      </c>
      <c r="C1786" t="s">
        <v>1544</v>
      </c>
      <c r="D1786">
        <v>747297428</v>
      </c>
      <c r="E1786" t="s">
        <v>9</v>
      </c>
      <c r="F1786" s="1">
        <v>45268</v>
      </c>
      <c r="G1786" t="s">
        <v>460</v>
      </c>
      <c r="H1786" s="2">
        <v>208.34</v>
      </c>
      <c r="I1786" t="s">
        <v>25</v>
      </c>
      <c r="J1786" t="s">
        <v>33</v>
      </c>
      <c r="K1786" t="s">
        <v>16</v>
      </c>
    </row>
    <row r="1787" spans="1:11" x14ac:dyDescent="0.25">
      <c r="A1787" t="s">
        <v>616</v>
      </c>
      <c r="B1787" t="s">
        <v>17</v>
      </c>
      <c r="C1787" t="s">
        <v>617</v>
      </c>
      <c r="D1787">
        <v>802128905</v>
      </c>
      <c r="E1787" t="s">
        <v>9</v>
      </c>
      <c r="F1787" s="1">
        <v>45629</v>
      </c>
      <c r="G1787" t="s">
        <v>412</v>
      </c>
      <c r="H1787" s="2">
        <v>575.76</v>
      </c>
      <c r="I1787" t="s">
        <v>25</v>
      </c>
      <c r="J1787" t="s">
        <v>33</v>
      </c>
      <c r="K1787" t="s">
        <v>12</v>
      </c>
    </row>
    <row r="1788" spans="1:11" x14ac:dyDescent="0.25">
      <c r="A1788" t="s">
        <v>1084</v>
      </c>
      <c r="B1788" t="s">
        <v>306</v>
      </c>
      <c r="C1788" t="s">
        <v>1085</v>
      </c>
      <c r="D1788">
        <v>722110763</v>
      </c>
      <c r="E1788" t="s">
        <v>13</v>
      </c>
      <c r="F1788" s="1">
        <v>45764</v>
      </c>
      <c r="G1788" t="s">
        <v>32</v>
      </c>
      <c r="H1788" s="2">
        <v>811.2</v>
      </c>
      <c r="I1788" t="s">
        <v>25</v>
      </c>
      <c r="J1788" t="s">
        <v>33</v>
      </c>
      <c r="K1788" t="s">
        <v>12</v>
      </c>
    </row>
    <row r="1789" spans="1:11" x14ac:dyDescent="0.25">
      <c r="A1789" t="s">
        <v>980</v>
      </c>
      <c r="B1789" t="s">
        <v>101</v>
      </c>
      <c r="C1789" t="s">
        <v>981</v>
      </c>
      <c r="D1789">
        <v>724525701</v>
      </c>
      <c r="E1789" t="s">
        <v>9</v>
      </c>
      <c r="F1789" s="1">
        <v>45681</v>
      </c>
      <c r="G1789" t="s">
        <v>39</v>
      </c>
      <c r="H1789" s="2">
        <v>487.33</v>
      </c>
      <c r="I1789" t="s">
        <v>507</v>
      </c>
      <c r="J1789" t="s">
        <v>36</v>
      </c>
      <c r="K1789" t="s">
        <v>16</v>
      </c>
    </row>
    <row r="1790" spans="1:11" x14ac:dyDescent="0.25">
      <c r="A1790" t="s">
        <v>1307</v>
      </c>
      <c r="B1790" t="s">
        <v>1308</v>
      </c>
      <c r="C1790" t="s">
        <v>1309</v>
      </c>
      <c r="D1790">
        <v>899491733</v>
      </c>
      <c r="E1790" t="s">
        <v>9</v>
      </c>
      <c r="F1790" s="1">
        <v>45191</v>
      </c>
      <c r="G1790" t="s">
        <v>518</v>
      </c>
      <c r="H1790" s="2">
        <v>959.49</v>
      </c>
      <c r="I1790" t="s">
        <v>25</v>
      </c>
      <c r="J1790" t="s">
        <v>33</v>
      </c>
      <c r="K1790" t="s">
        <v>16</v>
      </c>
    </row>
    <row r="1791" spans="1:11" x14ac:dyDescent="0.25">
      <c r="A1791" t="s">
        <v>463</v>
      </c>
      <c r="B1791" t="s">
        <v>195</v>
      </c>
      <c r="C1791" t="s">
        <v>464</v>
      </c>
      <c r="D1791">
        <v>722994048</v>
      </c>
      <c r="E1791" t="s">
        <v>9</v>
      </c>
      <c r="F1791" s="1">
        <v>45286</v>
      </c>
      <c r="G1791" t="s">
        <v>440</v>
      </c>
      <c r="H1791" s="2">
        <v>888.18</v>
      </c>
      <c r="I1791" t="s">
        <v>25</v>
      </c>
      <c r="J1791" t="s">
        <v>33</v>
      </c>
      <c r="K1791" t="s">
        <v>12</v>
      </c>
    </row>
    <row r="1792" spans="1:11" x14ac:dyDescent="0.25">
      <c r="A1792" t="s">
        <v>1182</v>
      </c>
      <c r="B1792" t="s">
        <v>328</v>
      </c>
      <c r="C1792" t="s">
        <v>1183</v>
      </c>
      <c r="D1792">
        <v>688673130</v>
      </c>
      <c r="E1792" t="s">
        <v>18</v>
      </c>
      <c r="F1792" s="1">
        <v>45714</v>
      </c>
      <c r="G1792" t="s">
        <v>624</v>
      </c>
      <c r="H1792" s="2">
        <v>12.02</v>
      </c>
      <c r="I1792" t="s">
        <v>25</v>
      </c>
      <c r="J1792" t="s">
        <v>33</v>
      </c>
      <c r="K1792" t="s">
        <v>16</v>
      </c>
    </row>
    <row r="1793" spans="1:11" x14ac:dyDescent="0.25">
      <c r="A1793" t="s">
        <v>966</v>
      </c>
      <c r="B1793" t="s">
        <v>129</v>
      </c>
      <c r="C1793" t="s">
        <v>967</v>
      </c>
      <c r="D1793">
        <v>738722817</v>
      </c>
      <c r="E1793" t="s">
        <v>9</v>
      </c>
      <c r="F1793" s="1">
        <v>45621</v>
      </c>
      <c r="G1793" t="s">
        <v>624</v>
      </c>
      <c r="H1793" s="2">
        <v>1545.17</v>
      </c>
      <c r="I1793" t="s">
        <v>25</v>
      </c>
      <c r="J1793" t="s">
        <v>26</v>
      </c>
      <c r="K1793" t="s">
        <v>16</v>
      </c>
    </row>
    <row r="1794" spans="1:11" x14ac:dyDescent="0.25">
      <c r="A1794" t="s">
        <v>1434</v>
      </c>
      <c r="B1794" t="s">
        <v>252</v>
      </c>
      <c r="C1794" t="s">
        <v>1435</v>
      </c>
      <c r="D1794">
        <v>706544642</v>
      </c>
      <c r="E1794" t="s">
        <v>18</v>
      </c>
      <c r="F1794" s="1">
        <v>45825</v>
      </c>
      <c r="G1794" t="s">
        <v>518</v>
      </c>
      <c r="H1794" s="2">
        <v>1278.43</v>
      </c>
      <c r="I1794" t="s">
        <v>25</v>
      </c>
      <c r="J1794" t="s">
        <v>36</v>
      </c>
      <c r="K1794" t="s">
        <v>16</v>
      </c>
    </row>
    <row r="1795" spans="1:11" x14ac:dyDescent="0.25">
      <c r="A1795" t="s">
        <v>1454</v>
      </c>
      <c r="B1795" t="s">
        <v>125</v>
      </c>
      <c r="C1795" t="s">
        <v>1455</v>
      </c>
      <c r="D1795">
        <v>718769258</v>
      </c>
      <c r="E1795" t="s">
        <v>18</v>
      </c>
      <c r="F1795" s="1">
        <v>45579</v>
      </c>
      <c r="G1795" t="s">
        <v>35</v>
      </c>
      <c r="H1795" s="2">
        <v>1603.53</v>
      </c>
      <c r="I1795" t="s">
        <v>25</v>
      </c>
      <c r="J1795" t="s">
        <v>33</v>
      </c>
      <c r="K1795" t="s">
        <v>16</v>
      </c>
    </row>
    <row r="1796" spans="1:11" x14ac:dyDescent="0.25">
      <c r="A1796" t="s">
        <v>473</v>
      </c>
      <c r="B1796" t="s">
        <v>242</v>
      </c>
      <c r="C1796" t="s">
        <v>474</v>
      </c>
      <c r="D1796">
        <v>723510058</v>
      </c>
      <c r="E1796" t="s">
        <v>18</v>
      </c>
      <c r="F1796" s="1">
        <v>45877</v>
      </c>
      <c r="G1796" t="s">
        <v>475</v>
      </c>
      <c r="H1796" s="2">
        <v>1037.21</v>
      </c>
      <c r="I1796" t="s">
        <v>444</v>
      </c>
      <c r="J1796" t="s">
        <v>11</v>
      </c>
      <c r="K1796" t="s">
        <v>16</v>
      </c>
    </row>
    <row r="1797" spans="1:11" x14ac:dyDescent="0.25">
      <c r="A1797" t="s">
        <v>735</v>
      </c>
      <c r="B1797" t="s">
        <v>55</v>
      </c>
      <c r="C1797" t="s">
        <v>736</v>
      </c>
      <c r="D1797">
        <v>724968308</v>
      </c>
      <c r="E1797" t="s">
        <v>9</v>
      </c>
      <c r="F1797" s="1">
        <v>45682</v>
      </c>
      <c r="G1797" t="s">
        <v>415</v>
      </c>
      <c r="H1797" s="2">
        <v>1031.83</v>
      </c>
      <c r="I1797" t="s">
        <v>25</v>
      </c>
      <c r="J1797" t="s">
        <v>22</v>
      </c>
      <c r="K1797" t="s">
        <v>16</v>
      </c>
    </row>
    <row r="1798" spans="1:11" x14ac:dyDescent="0.25">
      <c r="A1798" t="s">
        <v>1494</v>
      </c>
      <c r="B1798" t="s">
        <v>139</v>
      </c>
      <c r="C1798" t="s">
        <v>1495</v>
      </c>
      <c r="D1798">
        <v>718841855</v>
      </c>
      <c r="E1798" t="s">
        <v>18</v>
      </c>
      <c r="F1798" s="1">
        <v>45715</v>
      </c>
      <c r="G1798" t="s">
        <v>10</v>
      </c>
      <c r="H1798" s="2">
        <v>780.09</v>
      </c>
      <c r="I1798" t="s">
        <v>25</v>
      </c>
      <c r="J1798" t="s">
        <v>22</v>
      </c>
      <c r="K1798" t="s">
        <v>12</v>
      </c>
    </row>
    <row r="1799" spans="1:11" x14ac:dyDescent="0.25">
      <c r="A1799" t="s">
        <v>633</v>
      </c>
      <c r="B1799" t="s">
        <v>397</v>
      </c>
      <c r="C1799" t="s">
        <v>634</v>
      </c>
      <c r="D1799">
        <v>749804420</v>
      </c>
      <c r="E1799" t="s">
        <v>18</v>
      </c>
      <c r="F1799" s="1">
        <v>45506</v>
      </c>
      <c r="G1799" t="s">
        <v>624</v>
      </c>
      <c r="H1799" s="2">
        <v>351.98</v>
      </c>
      <c r="I1799" t="s">
        <v>25</v>
      </c>
      <c r="J1799" t="s">
        <v>36</v>
      </c>
      <c r="K1799" t="s">
        <v>12</v>
      </c>
    </row>
    <row r="1800" spans="1:11" x14ac:dyDescent="0.25">
      <c r="A1800" t="s">
        <v>1201</v>
      </c>
      <c r="B1800" t="s">
        <v>280</v>
      </c>
      <c r="C1800" t="s">
        <v>1202</v>
      </c>
      <c r="D1800">
        <v>639659594</v>
      </c>
      <c r="E1800" t="s">
        <v>9</v>
      </c>
      <c r="F1800" s="1">
        <v>45791</v>
      </c>
      <c r="G1800" t="s">
        <v>478</v>
      </c>
      <c r="H1800" s="2">
        <v>1950.47</v>
      </c>
      <c r="I1800" t="s">
        <v>507</v>
      </c>
      <c r="J1800" t="s">
        <v>22</v>
      </c>
      <c r="K1800" t="s">
        <v>12</v>
      </c>
    </row>
    <row r="1801" spans="1:11" x14ac:dyDescent="0.25">
      <c r="A1801" t="s">
        <v>962</v>
      </c>
      <c r="B1801" t="s">
        <v>330</v>
      </c>
      <c r="C1801" t="s">
        <v>963</v>
      </c>
      <c r="D1801">
        <v>706401025</v>
      </c>
      <c r="E1801" t="s">
        <v>9</v>
      </c>
      <c r="F1801" s="1">
        <v>45800</v>
      </c>
      <c r="G1801" t="s">
        <v>423</v>
      </c>
      <c r="H1801" s="2">
        <v>1239.23</v>
      </c>
      <c r="I1801" t="s">
        <v>25</v>
      </c>
      <c r="J1801" t="s">
        <v>33</v>
      </c>
      <c r="K1801" t="s">
        <v>12</v>
      </c>
    </row>
    <row r="1802" spans="1:11" x14ac:dyDescent="0.25">
      <c r="A1802" t="s">
        <v>1265</v>
      </c>
      <c r="B1802" t="s">
        <v>86</v>
      </c>
      <c r="C1802" t="s">
        <v>1266</v>
      </c>
      <c r="D1802">
        <v>721786256</v>
      </c>
      <c r="E1802" t="s">
        <v>9</v>
      </c>
      <c r="F1802" s="1">
        <v>45886</v>
      </c>
      <c r="G1802" t="s">
        <v>423</v>
      </c>
      <c r="H1802" s="2">
        <v>1614.67</v>
      </c>
      <c r="I1802" t="s">
        <v>25</v>
      </c>
      <c r="J1802" t="s">
        <v>22</v>
      </c>
      <c r="K1802" t="s">
        <v>12</v>
      </c>
    </row>
    <row r="1803" spans="1:11" x14ac:dyDescent="0.25">
      <c r="A1803" t="s">
        <v>949</v>
      </c>
      <c r="B1803" t="s">
        <v>182</v>
      </c>
      <c r="C1803" t="s">
        <v>950</v>
      </c>
      <c r="D1803">
        <v>741931466</v>
      </c>
      <c r="E1803" t="s">
        <v>18</v>
      </c>
      <c r="F1803" s="1">
        <v>45333</v>
      </c>
      <c r="G1803" t="s">
        <v>440</v>
      </c>
      <c r="H1803" s="2">
        <v>1412.32</v>
      </c>
      <c r="I1803" t="s">
        <v>25</v>
      </c>
      <c r="J1803" t="s">
        <v>33</v>
      </c>
      <c r="K1803" t="s">
        <v>16</v>
      </c>
    </row>
    <row r="1804" spans="1:11" x14ac:dyDescent="0.25">
      <c r="A1804" t="s">
        <v>1247</v>
      </c>
      <c r="B1804" t="s">
        <v>654</v>
      </c>
      <c r="C1804" t="s">
        <v>1248</v>
      </c>
      <c r="D1804">
        <v>738123474</v>
      </c>
      <c r="E1804" t="s">
        <v>9</v>
      </c>
      <c r="F1804" s="1">
        <v>45281</v>
      </c>
      <c r="G1804" t="s">
        <v>624</v>
      </c>
      <c r="H1804" s="2">
        <v>1009.54</v>
      </c>
      <c r="I1804" t="s">
        <v>25</v>
      </c>
      <c r="J1804" t="s">
        <v>22</v>
      </c>
      <c r="K1804" t="s">
        <v>16</v>
      </c>
    </row>
    <row r="1805" spans="1:11" x14ac:dyDescent="0.25">
      <c r="A1805" t="s">
        <v>697</v>
      </c>
      <c r="B1805" t="s">
        <v>293</v>
      </c>
      <c r="C1805" t="s">
        <v>698</v>
      </c>
      <c r="D1805">
        <v>704058112</v>
      </c>
      <c r="E1805" t="s">
        <v>18</v>
      </c>
      <c r="F1805" s="1">
        <v>45770</v>
      </c>
      <c r="G1805" t="s">
        <v>412</v>
      </c>
      <c r="H1805" s="2">
        <v>1990.17</v>
      </c>
      <c r="I1805" t="s">
        <v>25</v>
      </c>
      <c r="J1805" t="s">
        <v>36</v>
      </c>
      <c r="K1805" t="s">
        <v>12</v>
      </c>
    </row>
    <row r="1806" spans="1:11" x14ac:dyDescent="0.25">
      <c r="A1806" t="s">
        <v>649</v>
      </c>
      <c r="B1806" t="s">
        <v>23</v>
      </c>
      <c r="C1806" t="s">
        <v>650</v>
      </c>
      <c r="D1806">
        <v>681942999</v>
      </c>
      <c r="E1806" t="s">
        <v>9</v>
      </c>
      <c r="F1806" s="1">
        <v>45861</v>
      </c>
      <c r="G1806" t="s">
        <v>10</v>
      </c>
      <c r="H1806" s="2">
        <v>604.92999999999995</v>
      </c>
      <c r="I1806" t="s">
        <v>25</v>
      </c>
      <c r="J1806" t="s">
        <v>22</v>
      </c>
      <c r="K1806" t="s">
        <v>16</v>
      </c>
    </row>
    <row r="1807" spans="1:11" x14ac:dyDescent="0.25">
      <c r="A1807" t="s">
        <v>413</v>
      </c>
      <c r="B1807" t="s">
        <v>23</v>
      </c>
      <c r="C1807" t="s">
        <v>414</v>
      </c>
      <c r="D1807">
        <v>704413195</v>
      </c>
      <c r="E1807" t="s">
        <v>18</v>
      </c>
      <c r="F1807" s="1">
        <v>45249</v>
      </c>
      <c r="G1807" t="s">
        <v>415</v>
      </c>
      <c r="H1807" s="2">
        <v>671.82</v>
      </c>
      <c r="I1807" t="s">
        <v>25</v>
      </c>
      <c r="J1807" t="s">
        <v>26</v>
      </c>
      <c r="K1807" t="s">
        <v>16</v>
      </c>
    </row>
    <row r="1808" spans="1:11" x14ac:dyDescent="0.25">
      <c r="A1808" t="s">
        <v>735</v>
      </c>
      <c r="B1808" t="s">
        <v>55</v>
      </c>
      <c r="C1808" t="s">
        <v>736</v>
      </c>
      <c r="D1808">
        <v>724968308</v>
      </c>
      <c r="E1808" t="s">
        <v>9</v>
      </c>
      <c r="F1808" s="1">
        <v>45274</v>
      </c>
      <c r="G1808" t="s">
        <v>415</v>
      </c>
      <c r="H1808" s="2">
        <v>727.03</v>
      </c>
      <c r="I1808" t="s">
        <v>25</v>
      </c>
      <c r="J1808" t="s">
        <v>33</v>
      </c>
      <c r="K1808" t="s">
        <v>12</v>
      </c>
    </row>
    <row r="1809" spans="1:11" x14ac:dyDescent="0.25">
      <c r="A1809" t="s">
        <v>614</v>
      </c>
      <c r="B1809" t="s">
        <v>210</v>
      </c>
      <c r="C1809" t="s">
        <v>615</v>
      </c>
      <c r="D1809">
        <v>701528957</v>
      </c>
      <c r="E1809" t="s">
        <v>18</v>
      </c>
      <c r="F1809" s="1">
        <v>45403</v>
      </c>
      <c r="G1809" t="s">
        <v>39</v>
      </c>
      <c r="H1809" s="2">
        <v>14.13</v>
      </c>
      <c r="I1809" t="s">
        <v>25</v>
      </c>
      <c r="J1809" t="s">
        <v>15</v>
      </c>
      <c r="K1809" t="s">
        <v>12</v>
      </c>
    </row>
    <row r="1810" spans="1:11" x14ac:dyDescent="0.25">
      <c r="A1810" t="s">
        <v>1272</v>
      </c>
      <c r="B1810" t="s">
        <v>313</v>
      </c>
      <c r="C1810" t="s">
        <v>1273</v>
      </c>
      <c r="D1810">
        <v>878768666</v>
      </c>
      <c r="E1810" t="s">
        <v>13</v>
      </c>
      <c r="F1810" s="1">
        <v>45789</v>
      </c>
      <c r="G1810" t="s">
        <v>518</v>
      </c>
      <c r="H1810" s="2">
        <v>888.64</v>
      </c>
      <c r="I1810" t="s">
        <v>507</v>
      </c>
      <c r="J1810" t="s">
        <v>36</v>
      </c>
      <c r="K1810" t="s">
        <v>12</v>
      </c>
    </row>
    <row r="1811" spans="1:11" x14ac:dyDescent="0.25">
      <c r="A1811" t="s">
        <v>635</v>
      </c>
      <c r="B1811" t="s">
        <v>274</v>
      </c>
      <c r="C1811" t="s">
        <v>636</v>
      </c>
      <c r="D1811">
        <v>719168799</v>
      </c>
      <c r="E1811" t="s">
        <v>9</v>
      </c>
      <c r="F1811" s="1">
        <v>45233</v>
      </c>
      <c r="G1811" t="s">
        <v>19</v>
      </c>
      <c r="H1811" s="2">
        <v>1618.64</v>
      </c>
      <c r="I1811" t="s">
        <v>25</v>
      </c>
      <c r="J1811" t="s">
        <v>11</v>
      </c>
      <c r="K1811" t="s">
        <v>12</v>
      </c>
    </row>
    <row r="1812" spans="1:11" x14ac:dyDescent="0.25">
      <c r="A1812" t="s">
        <v>1428</v>
      </c>
      <c r="B1812" t="s">
        <v>407</v>
      </c>
      <c r="C1812" t="s">
        <v>1429</v>
      </c>
      <c r="D1812">
        <v>983839916</v>
      </c>
      <c r="E1812" t="s">
        <v>18</v>
      </c>
      <c r="F1812" s="1">
        <v>45428</v>
      </c>
      <c r="G1812" t="s">
        <v>24</v>
      </c>
      <c r="H1812" s="2">
        <v>252.44</v>
      </c>
      <c r="I1812" t="s">
        <v>25</v>
      </c>
      <c r="J1812" t="s">
        <v>36</v>
      </c>
      <c r="K1812" t="s">
        <v>12</v>
      </c>
    </row>
    <row r="1813" spans="1:11" x14ac:dyDescent="0.25">
      <c r="A1813" t="s">
        <v>616</v>
      </c>
      <c r="B1813" t="s">
        <v>17</v>
      </c>
      <c r="C1813" t="s">
        <v>617</v>
      </c>
      <c r="D1813">
        <v>802128905</v>
      </c>
      <c r="E1813" t="s">
        <v>9</v>
      </c>
      <c r="F1813" s="1">
        <v>45883</v>
      </c>
      <c r="G1813" t="s">
        <v>412</v>
      </c>
      <c r="H1813" s="2">
        <v>118.19</v>
      </c>
      <c r="I1813" t="s">
        <v>25</v>
      </c>
      <c r="J1813" t="s">
        <v>11</v>
      </c>
      <c r="K1813" t="s">
        <v>16</v>
      </c>
    </row>
    <row r="1814" spans="1:11" x14ac:dyDescent="0.25">
      <c r="A1814" t="s">
        <v>695</v>
      </c>
      <c r="B1814" t="s">
        <v>399</v>
      </c>
      <c r="C1814" t="s">
        <v>696</v>
      </c>
      <c r="D1814">
        <v>714072413</v>
      </c>
      <c r="E1814" t="s">
        <v>18</v>
      </c>
      <c r="F1814" s="1">
        <v>45437</v>
      </c>
      <c r="G1814" t="s">
        <v>478</v>
      </c>
      <c r="H1814" s="2">
        <v>1851.66</v>
      </c>
      <c r="I1814" t="s">
        <v>25</v>
      </c>
      <c r="J1814" t="s">
        <v>15</v>
      </c>
      <c r="K1814" t="s">
        <v>16</v>
      </c>
    </row>
    <row r="1815" spans="1:11" x14ac:dyDescent="0.25">
      <c r="A1815" t="s">
        <v>595</v>
      </c>
      <c r="B1815" t="s">
        <v>34</v>
      </c>
      <c r="C1815" t="s">
        <v>596</v>
      </c>
      <c r="D1815">
        <v>745956596</v>
      </c>
      <c r="E1815" t="s">
        <v>9</v>
      </c>
      <c r="F1815" s="1">
        <v>45422</v>
      </c>
      <c r="G1815" t="s">
        <v>24</v>
      </c>
      <c r="H1815" s="2">
        <v>781.12</v>
      </c>
      <c r="I1815" t="s">
        <v>25</v>
      </c>
      <c r="J1815" t="s">
        <v>11</v>
      </c>
      <c r="K1815" t="s">
        <v>12</v>
      </c>
    </row>
    <row r="1816" spans="1:11" x14ac:dyDescent="0.25">
      <c r="A1816" t="s">
        <v>697</v>
      </c>
      <c r="B1816" t="s">
        <v>293</v>
      </c>
      <c r="C1816" t="s">
        <v>698</v>
      </c>
      <c r="D1816">
        <v>704058112</v>
      </c>
      <c r="E1816" t="s">
        <v>18</v>
      </c>
      <c r="F1816" s="1">
        <v>45212</v>
      </c>
      <c r="G1816" t="s">
        <v>412</v>
      </c>
      <c r="H1816" s="2">
        <v>1258.82</v>
      </c>
      <c r="I1816" t="s">
        <v>25</v>
      </c>
      <c r="J1816" t="s">
        <v>33</v>
      </c>
      <c r="K1816" t="s">
        <v>16</v>
      </c>
    </row>
    <row r="1817" spans="1:11" x14ac:dyDescent="0.25">
      <c r="A1817" t="s">
        <v>962</v>
      </c>
      <c r="B1817" t="s">
        <v>330</v>
      </c>
      <c r="C1817" t="s">
        <v>963</v>
      </c>
      <c r="D1817">
        <v>706401025</v>
      </c>
      <c r="E1817" t="s">
        <v>9</v>
      </c>
      <c r="F1817" s="1">
        <v>45187</v>
      </c>
      <c r="G1817" t="s">
        <v>423</v>
      </c>
      <c r="H1817" s="2">
        <v>1979.91</v>
      </c>
      <c r="I1817" t="s">
        <v>25</v>
      </c>
      <c r="J1817" t="s">
        <v>33</v>
      </c>
      <c r="K1817" t="s">
        <v>12</v>
      </c>
    </row>
    <row r="1818" spans="1:11" x14ac:dyDescent="0.25">
      <c r="A1818" t="s">
        <v>1164</v>
      </c>
      <c r="B1818" t="s">
        <v>406</v>
      </c>
      <c r="C1818" t="s">
        <v>1165</v>
      </c>
      <c r="D1818">
        <v>742320022</v>
      </c>
      <c r="E1818" t="s">
        <v>9</v>
      </c>
      <c r="F1818" s="1">
        <v>45871</v>
      </c>
      <c r="G1818" t="s">
        <v>19</v>
      </c>
      <c r="H1818" s="2">
        <v>207.72</v>
      </c>
      <c r="I1818" t="s">
        <v>25</v>
      </c>
      <c r="J1818" t="s">
        <v>33</v>
      </c>
      <c r="K1818" t="s">
        <v>12</v>
      </c>
    </row>
    <row r="1819" spans="1:11" x14ac:dyDescent="0.25">
      <c r="A1819" t="s">
        <v>1396</v>
      </c>
      <c r="B1819" t="s">
        <v>376</v>
      </c>
      <c r="C1819" t="s">
        <v>1397</v>
      </c>
      <c r="D1819">
        <v>748753252</v>
      </c>
      <c r="E1819" t="s">
        <v>9</v>
      </c>
      <c r="F1819" s="1">
        <v>45499</v>
      </c>
      <c r="G1819" t="s">
        <v>443</v>
      </c>
      <c r="H1819" s="2">
        <v>305.89999999999998</v>
      </c>
      <c r="I1819" t="s">
        <v>25</v>
      </c>
      <c r="J1819" t="s">
        <v>22</v>
      </c>
      <c r="K1819" t="s">
        <v>12</v>
      </c>
    </row>
    <row r="1820" spans="1:11" x14ac:dyDescent="0.25">
      <c r="A1820" t="s">
        <v>796</v>
      </c>
      <c r="B1820" t="s">
        <v>20</v>
      </c>
      <c r="C1820" t="s">
        <v>797</v>
      </c>
      <c r="D1820">
        <v>741679878</v>
      </c>
      <c r="E1820" t="s">
        <v>9</v>
      </c>
      <c r="F1820" s="1">
        <v>45257</v>
      </c>
      <c r="G1820" t="s">
        <v>440</v>
      </c>
      <c r="H1820" s="2">
        <v>1864.24</v>
      </c>
      <c r="I1820" t="s">
        <v>25</v>
      </c>
      <c r="J1820" t="s">
        <v>33</v>
      </c>
      <c r="K1820" t="s">
        <v>12</v>
      </c>
    </row>
    <row r="1821" spans="1:11" x14ac:dyDescent="0.25">
      <c r="A1821" t="s">
        <v>1222</v>
      </c>
      <c r="B1821" t="s">
        <v>399</v>
      </c>
      <c r="C1821" t="s">
        <v>1223</v>
      </c>
      <c r="D1821">
        <v>639108490</v>
      </c>
      <c r="E1821" t="s">
        <v>9</v>
      </c>
      <c r="F1821" s="1">
        <v>45267</v>
      </c>
      <c r="G1821" t="s">
        <v>506</v>
      </c>
      <c r="H1821" s="2">
        <v>1636.96</v>
      </c>
      <c r="I1821" t="s">
        <v>25</v>
      </c>
      <c r="J1821" t="s">
        <v>36</v>
      </c>
      <c r="K1821" t="s">
        <v>12</v>
      </c>
    </row>
    <row r="1822" spans="1:11" x14ac:dyDescent="0.25">
      <c r="A1822" t="s">
        <v>1500</v>
      </c>
      <c r="B1822" t="s">
        <v>173</v>
      </c>
      <c r="C1822" t="s">
        <v>1501</v>
      </c>
      <c r="D1822">
        <v>856224115</v>
      </c>
      <c r="E1822" t="s">
        <v>18</v>
      </c>
      <c r="F1822" s="1">
        <v>45632</v>
      </c>
      <c r="G1822" t="s">
        <v>475</v>
      </c>
      <c r="H1822" s="2">
        <v>384.55</v>
      </c>
      <c r="I1822" t="s">
        <v>25</v>
      </c>
      <c r="J1822" t="s">
        <v>36</v>
      </c>
      <c r="K1822" t="s">
        <v>16</v>
      </c>
    </row>
    <row r="1823" spans="1:11" x14ac:dyDescent="0.25">
      <c r="A1823" t="s">
        <v>1026</v>
      </c>
      <c r="B1823" t="s">
        <v>28</v>
      </c>
      <c r="C1823" t="s">
        <v>1027</v>
      </c>
      <c r="D1823">
        <v>955471414</v>
      </c>
      <c r="E1823" t="s">
        <v>9</v>
      </c>
      <c r="F1823" s="1">
        <v>45896</v>
      </c>
      <c r="G1823" t="s">
        <v>39</v>
      </c>
      <c r="H1823" s="2">
        <v>1648.53</v>
      </c>
      <c r="I1823" t="s">
        <v>25</v>
      </c>
      <c r="J1823" t="s">
        <v>36</v>
      </c>
      <c r="K1823" t="s">
        <v>16</v>
      </c>
    </row>
    <row r="1824" spans="1:11" x14ac:dyDescent="0.25">
      <c r="A1824" t="s">
        <v>1162</v>
      </c>
      <c r="B1824" t="s">
        <v>381</v>
      </c>
      <c r="C1824" t="s">
        <v>1163</v>
      </c>
      <c r="D1824">
        <v>938130308</v>
      </c>
      <c r="E1824" t="s">
        <v>18</v>
      </c>
      <c r="F1824" s="1">
        <v>45470</v>
      </c>
      <c r="G1824" t="s">
        <v>423</v>
      </c>
      <c r="H1824" s="2">
        <v>1774.4</v>
      </c>
      <c r="I1824" t="s">
        <v>25</v>
      </c>
      <c r="J1824" t="s">
        <v>26</v>
      </c>
      <c r="K1824" t="s">
        <v>16</v>
      </c>
    </row>
    <row r="1825" spans="1:11" x14ac:dyDescent="0.25">
      <c r="A1825" t="s">
        <v>1545</v>
      </c>
      <c r="B1825" t="s">
        <v>76</v>
      </c>
      <c r="C1825" t="s">
        <v>1546</v>
      </c>
      <c r="D1825">
        <v>611250688</v>
      </c>
      <c r="E1825" t="s">
        <v>9</v>
      </c>
      <c r="F1825" s="1">
        <v>45465</v>
      </c>
      <c r="G1825" t="s">
        <v>14</v>
      </c>
      <c r="H1825" s="2">
        <v>1763.64</v>
      </c>
      <c r="I1825" t="s">
        <v>25</v>
      </c>
      <c r="J1825" t="s">
        <v>22</v>
      </c>
      <c r="K1825" t="s">
        <v>12</v>
      </c>
    </row>
    <row r="1826" spans="1:11" x14ac:dyDescent="0.25">
      <c r="A1826" t="s">
        <v>1267</v>
      </c>
      <c r="B1826" t="s">
        <v>1268</v>
      </c>
      <c r="C1826" t="s">
        <v>1269</v>
      </c>
      <c r="D1826">
        <v>707329571</v>
      </c>
      <c r="E1826" t="s">
        <v>18</v>
      </c>
      <c r="F1826" s="1">
        <v>45425</v>
      </c>
      <c r="G1826" t="s">
        <v>475</v>
      </c>
      <c r="H1826" s="2">
        <v>1402.82</v>
      </c>
      <c r="I1826" t="s">
        <v>25</v>
      </c>
      <c r="J1826" t="s">
        <v>11</v>
      </c>
      <c r="K1826" t="s">
        <v>12</v>
      </c>
    </row>
    <row r="1827" spans="1:11" x14ac:dyDescent="0.25">
      <c r="A1827" t="s">
        <v>549</v>
      </c>
      <c r="B1827" t="s">
        <v>183</v>
      </c>
      <c r="C1827" t="s">
        <v>550</v>
      </c>
      <c r="D1827">
        <v>948373777</v>
      </c>
      <c r="E1827" t="s">
        <v>9</v>
      </c>
      <c r="F1827" s="1">
        <v>45791</v>
      </c>
      <c r="G1827" t="s">
        <v>506</v>
      </c>
      <c r="H1827" s="2">
        <v>704.77</v>
      </c>
      <c r="I1827" t="s">
        <v>25</v>
      </c>
      <c r="J1827" t="s">
        <v>22</v>
      </c>
      <c r="K1827" t="s">
        <v>16</v>
      </c>
    </row>
    <row r="1828" spans="1:11" x14ac:dyDescent="0.25">
      <c r="A1828" t="s">
        <v>1060</v>
      </c>
      <c r="B1828" t="s">
        <v>238</v>
      </c>
      <c r="C1828" t="s">
        <v>1061</v>
      </c>
      <c r="D1828">
        <v>971399015</v>
      </c>
      <c r="E1828" t="s">
        <v>18</v>
      </c>
      <c r="F1828" s="1">
        <v>45898</v>
      </c>
      <c r="G1828" t="s">
        <v>518</v>
      </c>
      <c r="H1828" s="2">
        <v>1212.27</v>
      </c>
      <c r="I1828" t="s">
        <v>507</v>
      </c>
      <c r="J1828" t="s">
        <v>11</v>
      </c>
      <c r="K1828" t="s">
        <v>12</v>
      </c>
    </row>
    <row r="1829" spans="1:11" x14ac:dyDescent="0.25">
      <c r="A1829" t="s">
        <v>492</v>
      </c>
      <c r="B1829" t="s">
        <v>312</v>
      </c>
      <c r="C1829" t="s">
        <v>493</v>
      </c>
      <c r="D1829">
        <v>888046669</v>
      </c>
      <c r="E1829" t="s">
        <v>18</v>
      </c>
      <c r="F1829" s="1">
        <v>45388</v>
      </c>
      <c r="G1829" t="s">
        <v>443</v>
      </c>
      <c r="H1829" s="2">
        <v>999.69</v>
      </c>
      <c r="I1829" t="s">
        <v>25</v>
      </c>
      <c r="J1829" t="s">
        <v>11</v>
      </c>
      <c r="K1829" t="s">
        <v>16</v>
      </c>
    </row>
    <row r="1830" spans="1:11" x14ac:dyDescent="0.25">
      <c r="A1830" t="s">
        <v>847</v>
      </c>
      <c r="B1830" t="s">
        <v>256</v>
      </c>
      <c r="C1830" t="s">
        <v>848</v>
      </c>
      <c r="D1830">
        <v>733233840</v>
      </c>
      <c r="E1830" t="s">
        <v>9</v>
      </c>
      <c r="F1830" s="1">
        <v>45658</v>
      </c>
      <c r="G1830" t="s">
        <v>475</v>
      </c>
      <c r="H1830" s="2">
        <v>93.75</v>
      </c>
      <c r="I1830" t="s">
        <v>25</v>
      </c>
      <c r="J1830" t="s">
        <v>33</v>
      </c>
      <c r="K1830" t="s">
        <v>12</v>
      </c>
    </row>
    <row r="1831" spans="1:11" x14ac:dyDescent="0.25">
      <c r="A1831" t="s">
        <v>514</v>
      </c>
      <c r="B1831" t="s">
        <v>292</v>
      </c>
      <c r="C1831" t="s">
        <v>515</v>
      </c>
      <c r="D1831">
        <v>726799934</v>
      </c>
      <c r="E1831" t="s">
        <v>18</v>
      </c>
      <c r="F1831" s="1">
        <v>45535</v>
      </c>
      <c r="G1831" t="s">
        <v>440</v>
      </c>
      <c r="H1831" s="2">
        <v>1398.72</v>
      </c>
      <c r="I1831" t="s">
        <v>25</v>
      </c>
      <c r="J1831" t="s">
        <v>22</v>
      </c>
      <c r="K1831" t="s">
        <v>12</v>
      </c>
    </row>
    <row r="1832" spans="1:11" x14ac:dyDescent="0.25">
      <c r="A1832" t="s">
        <v>543</v>
      </c>
      <c r="B1832" t="s">
        <v>276</v>
      </c>
      <c r="C1832" t="s">
        <v>544</v>
      </c>
      <c r="D1832">
        <v>744517295</v>
      </c>
      <c r="E1832" t="s">
        <v>18</v>
      </c>
      <c r="F1832" s="1">
        <v>45573</v>
      </c>
      <c r="G1832" t="s">
        <v>440</v>
      </c>
      <c r="H1832" s="2">
        <v>335.74</v>
      </c>
      <c r="I1832" t="s">
        <v>25</v>
      </c>
      <c r="J1832" t="s">
        <v>11</v>
      </c>
      <c r="K1832" t="s">
        <v>16</v>
      </c>
    </row>
    <row r="1833" spans="1:11" x14ac:dyDescent="0.25">
      <c r="A1833" t="s">
        <v>1232</v>
      </c>
      <c r="B1833" t="s">
        <v>82</v>
      </c>
      <c r="C1833" t="s">
        <v>1233</v>
      </c>
      <c r="D1833">
        <v>879206409</v>
      </c>
      <c r="E1833" t="s">
        <v>9</v>
      </c>
      <c r="F1833" s="1">
        <v>45601</v>
      </c>
      <c r="G1833" t="s">
        <v>415</v>
      </c>
      <c r="H1833" s="2">
        <v>643.71</v>
      </c>
      <c r="I1833" t="s">
        <v>25</v>
      </c>
      <c r="J1833" t="s">
        <v>26</v>
      </c>
      <c r="K1833" t="s">
        <v>12</v>
      </c>
    </row>
    <row r="1834" spans="1:11" x14ac:dyDescent="0.25">
      <c r="A1834" t="s">
        <v>1422</v>
      </c>
      <c r="B1834" t="s">
        <v>214</v>
      </c>
      <c r="C1834" t="s">
        <v>1423</v>
      </c>
      <c r="D1834">
        <v>983007269</v>
      </c>
      <c r="E1834" t="s">
        <v>9</v>
      </c>
      <c r="F1834" s="1">
        <v>45539</v>
      </c>
      <c r="G1834" t="s">
        <v>35</v>
      </c>
      <c r="H1834" s="2">
        <v>123.64</v>
      </c>
      <c r="I1834" t="s">
        <v>25</v>
      </c>
      <c r="J1834" t="s">
        <v>22</v>
      </c>
      <c r="K1834" t="s">
        <v>12</v>
      </c>
    </row>
    <row r="1835" spans="1:11" x14ac:dyDescent="0.25">
      <c r="A1835" t="s">
        <v>974</v>
      </c>
      <c r="B1835" t="s">
        <v>199</v>
      </c>
      <c r="C1835" t="s">
        <v>975</v>
      </c>
      <c r="D1835">
        <v>731372618</v>
      </c>
      <c r="E1835" t="s">
        <v>9</v>
      </c>
      <c r="F1835" s="1">
        <v>45739</v>
      </c>
      <c r="G1835" t="s">
        <v>418</v>
      </c>
      <c r="H1835" s="2">
        <v>1097.29</v>
      </c>
      <c r="I1835" t="s">
        <v>25</v>
      </c>
      <c r="J1835" t="s">
        <v>26</v>
      </c>
      <c r="K1835" t="s">
        <v>12</v>
      </c>
    </row>
    <row r="1836" spans="1:11" x14ac:dyDescent="0.25">
      <c r="A1836" t="s">
        <v>1331</v>
      </c>
      <c r="B1836" t="s">
        <v>1332</v>
      </c>
      <c r="C1836" t="s">
        <v>1333</v>
      </c>
      <c r="D1836">
        <v>713494387</v>
      </c>
      <c r="E1836" t="s">
        <v>9</v>
      </c>
      <c r="F1836" s="1">
        <v>45290</v>
      </c>
      <c r="G1836" t="s">
        <v>415</v>
      </c>
      <c r="H1836" s="2">
        <v>1596.88</v>
      </c>
      <c r="I1836" t="s">
        <v>25</v>
      </c>
      <c r="J1836" t="s">
        <v>33</v>
      </c>
      <c r="K1836" t="s">
        <v>16</v>
      </c>
    </row>
    <row r="1837" spans="1:11" x14ac:dyDescent="0.25">
      <c r="A1837" t="s">
        <v>1245</v>
      </c>
      <c r="B1837" t="s">
        <v>290</v>
      </c>
      <c r="C1837" t="s">
        <v>1246</v>
      </c>
      <c r="D1837">
        <v>966229025</v>
      </c>
      <c r="E1837" t="s">
        <v>9</v>
      </c>
      <c r="F1837" s="1">
        <v>45307</v>
      </c>
      <c r="G1837" t="s">
        <v>518</v>
      </c>
      <c r="H1837" s="2">
        <v>788.12</v>
      </c>
      <c r="I1837" t="s">
        <v>25</v>
      </c>
      <c r="J1837" t="s">
        <v>26</v>
      </c>
      <c r="K1837" t="s">
        <v>12</v>
      </c>
    </row>
    <row r="1838" spans="1:11" x14ac:dyDescent="0.25">
      <c r="A1838" t="s">
        <v>428</v>
      </c>
      <c r="B1838" t="s">
        <v>64</v>
      </c>
      <c r="C1838" t="s">
        <v>429</v>
      </c>
      <c r="D1838">
        <v>681249637</v>
      </c>
      <c r="E1838" t="s">
        <v>13</v>
      </c>
      <c r="F1838" s="1">
        <v>45612</v>
      </c>
      <c r="G1838" t="s">
        <v>418</v>
      </c>
      <c r="H1838" s="2">
        <v>1637.33</v>
      </c>
      <c r="I1838" t="s">
        <v>507</v>
      </c>
      <c r="J1838" t="s">
        <v>22</v>
      </c>
      <c r="K1838" t="s">
        <v>16</v>
      </c>
    </row>
    <row r="1839" spans="1:11" x14ac:dyDescent="0.25">
      <c r="A1839" t="s">
        <v>1272</v>
      </c>
      <c r="B1839" t="s">
        <v>313</v>
      </c>
      <c r="C1839" t="s">
        <v>1273</v>
      </c>
      <c r="D1839">
        <v>878768666</v>
      </c>
      <c r="E1839" t="s">
        <v>13</v>
      </c>
      <c r="F1839" s="1">
        <v>45340</v>
      </c>
      <c r="G1839" t="s">
        <v>518</v>
      </c>
      <c r="H1839" s="2">
        <v>778.9</v>
      </c>
      <c r="I1839" t="s">
        <v>25</v>
      </c>
      <c r="J1839" t="s">
        <v>22</v>
      </c>
      <c r="K1839" t="s">
        <v>12</v>
      </c>
    </row>
    <row r="1840" spans="1:11" x14ac:dyDescent="0.25">
      <c r="A1840" t="s">
        <v>752</v>
      </c>
      <c r="B1840" t="s">
        <v>340</v>
      </c>
      <c r="C1840" t="s">
        <v>753</v>
      </c>
      <c r="D1840">
        <v>723183453</v>
      </c>
      <c r="E1840" t="s">
        <v>13</v>
      </c>
      <c r="F1840" s="1">
        <v>45250</v>
      </c>
      <c r="G1840" t="s">
        <v>460</v>
      </c>
      <c r="H1840" s="2">
        <v>869.11</v>
      </c>
      <c r="I1840" t="s">
        <v>25</v>
      </c>
      <c r="J1840" t="s">
        <v>33</v>
      </c>
      <c r="K1840" t="s">
        <v>16</v>
      </c>
    </row>
    <row r="1841" spans="1:11" x14ac:dyDescent="0.25">
      <c r="A1841" t="s">
        <v>1458</v>
      </c>
      <c r="B1841" t="s">
        <v>1459</v>
      </c>
      <c r="C1841" t="s">
        <v>1460</v>
      </c>
      <c r="D1841">
        <v>749856245</v>
      </c>
      <c r="E1841" t="s">
        <v>9</v>
      </c>
      <c r="F1841" s="1">
        <v>45784</v>
      </c>
      <c r="G1841" t="s">
        <v>478</v>
      </c>
      <c r="H1841" s="2">
        <v>1610.15</v>
      </c>
      <c r="I1841" t="s">
        <v>25</v>
      </c>
      <c r="J1841" t="s">
        <v>33</v>
      </c>
      <c r="K1841" t="s">
        <v>16</v>
      </c>
    </row>
    <row r="1842" spans="1:11" x14ac:dyDescent="0.25">
      <c r="A1842" t="s">
        <v>660</v>
      </c>
      <c r="B1842" t="s">
        <v>325</v>
      </c>
      <c r="C1842" t="s">
        <v>661</v>
      </c>
      <c r="D1842">
        <v>727937300</v>
      </c>
      <c r="E1842" t="s">
        <v>9</v>
      </c>
      <c r="F1842" s="1">
        <v>45745</v>
      </c>
      <c r="G1842" t="s">
        <v>47</v>
      </c>
      <c r="H1842" s="2">
        <v>708.4</v>
      </c>
      <c r="I1842" t="s">
        <v>25</v>
      </c>
      <c r="J1842" t="s">
        <v>22</v>
      </c>
      <c r="K1842" t="s">
        <v>16</v>
      </c>
    </row>
    <row r="1843" spans="1:11" x14ac:dyDescent="0.25">
      <c r="A1843" t="s">
        <v>868</v>
      </c>
      <c r="B1843" t="s">
        <v>43</v>
      </c>
      <c r="C1843" t="s">
        <v>869</v>
      </c>
      <c r="D1843">
        <v>648175517</v>
      </c>
      <c r="E1843" t="s">
        <v>18</v>
      </c>
      <c r="F1843" s="1">
        <v>45231</v>
      </c>
      <c r="G1843" t="s">
        <v>624</v>
      </c>
      <c r="H1843" s="2">
        <v>1038.3499999999999</v>
      </c>
      <c r="I1843" t="s">
        <v>25</v>
      </c>
      <c r="J1843" t="s">
        <v>26</v>
      </c>
      <c r="K1843" t="s">
        <v>16</v>
      </c>
    </row>
    <row r="1844" spans="1:11" x14ac:dyDescent="0.25">
      <c r="A1844" t="s">
        <v>978</v>
      </c>
      <c r="B1844" t="s">
        <v>355</v>
      </c>
      <c r="C1844" t="s">
        <v>979</v>
      </c>
      <c r="D1844">
        <v>721979865</v>
      </c>
      <c r="E1844" t="s">
        <v>9</v>
      </c>
      <c r="F1844" s="1">
        <v>45475</v>
      </c>
      <c r="G1844" t="s">
        <v>518</v>
      </c>
      <c r="H1844" s="2">
        <v>668.78</v>
      </c>
      <c r="I1844" t="s">
        <v>25</v>
      </c>
      <c r="J1844" t="s">
        <v>36</v>
      </c>
      <c r="K1844" t="s">
        <v>16</v>
      </c>
    </row>
    <row r="1845" spans="1:11" x14ac:dyDescent="0.25">
      <c r="A1845" t="s">
        <v>1408</v>
      </c>
      <c r="B1845" t="s">
        <v>325</v>
      </c>
      <c r="C1845" t="s">
        <v>1409</v>
      </c>
      <c r="D1845">
        <v>879657385</v>
      </c>
      <c r="E1845" t="s">
        <v>9</v>
      </c>
      <c r="F1845" s="1">
        <v>45657</v>
      </c>
      <c r="G1845" t="s">
        <v>39</v>
      </c>
      <c r="H1845" s="2">
        <v>906.75</v>
      </c>
      <c r="I1845" t="s">
        <v>444</v>
      </c>
      <c r="J1845" t="s">
        <v>22</v>
      </c>
      <c r="K1845" t="s">
        <v>12</v>
      </c>
    </row>
    <row r="1846" spans="1:11" x14ac:dyDescent="0.25">
      <c r="A1846" t="s">
        <v>658</v>
      </c>
      <c r="B1846" t="s">
        <v>222</v>
      </c>
      <c r="C1846" t="s">
        <v>659</v>
      </c>
      <c r="D1846">
        <v>682341936</v>
      </c>
      <c r="E1846" t="s">
        <v>9</v>
      </c>
      <c r="F1846" s="1">
        <v>45488</v>
      </c>
      <c r="G1846" t="s">
        <v>415</v>
      </c>
      <c r="H1846" s="2">
        <v>1954.56</v>
      </c>
      <c r="I1846" t="s">
        <v>25</v>
      </c>
      <c r="J1846" t="s">
        <v>26</v>
      </c>
      <c r="K1846" t="s">
        <v>12</v>
      </c>
    </row>
    <row r="1847" spans="1:11" x14ac:dyDescent="0.25">
      <c r="A1847" t="s">
        <v>1010</v>
      </c>
      <c r="B1847" t="s">
        <v>405</v>
      </c>
      <c r="C1847" t="s">
        <v>1011</v>
      </c>
      <c r="D1847">
        <v>988674084</v>
      </c>
      <c r="E1847" t="s">
        <v>9</v>
      </c>
      <c r="F1847" s="1">
        <v>45746</v>
      </c>
      <c r="G1847" t="s">
        <v>14</v>
      </c>
      <c r="H1847" s="2">
        <v>717.76</v>
      </c>
      <c r="I1847" t="s">
        <v>25</v>
      </c>
      <c r="J1847" t="s">
        <v>22</v>
      </c>
      <c r="K1847" t="s">
        <v>16</v>
      </c>
    </row>
    <row r="1848" spans="1:11" x14ac:dyDescent="0.25">
      <c r="A1848" t="s">
        <v>1076</v>
      </c>
      <c r="B1848" t="s">
        <v>87</v>
      </c>
      <c r="C1848" t="s">
        <v>1077</v>
      </c>
      <c r="D1848">
        <v>996771143</v>
      </c>
      <c r="E1848" t="s">
        <v>9</v>
      </c>
      <c r="F1848" s="1">
        <v>45387</v>
      </c>
      <c r="G1848" t="s">
        <v>14</v>
      </c>
      <c r="H1848" s="2">
        <v>1429.88</v>
      </c>
      <c r="I1848" t="s">
        <v>25</v>
      </c>
      <c r="J1848" t="s">
        <v>36</v>
      </c>
      <c r="K1848" t="s">
        <v>16</v>
      </c>
    </row>
    <row r="1849" spans="1:11" x14ac:dyDescent="0.25">
      <c r="A1849" t="s">
        <v>1494</v>
      </c>
      <c r="B1849" t="s">
        <v>139</v>
      </c>
      <c r="C1849" t="s">
        <v>1495</v>
      </c>
      <c r="D1849">
        <v>718841855</v>
      </c>
      <c r="E1849" t="s">
        <v>18</v>
      </c>
      <c r="F1849" s="1">
        <v>45543</v>
      </c>
      <c r="G1849" t="s">
        <v>10</v>
      </c>
      <c r="H1849" s="2">
        <v>624.61</v>
      </c>
      <c r="I1849" t="s">
        <v>25</v>
      </c>
      <c r="J1849" t="s">
        <v>15</v>
      </c>
      <c r="K1849" t="s">
        <v>12</v>
      </c>
    </row>
    <row r="1850" spans="1:11" x14ac:dyDescent="0.25">
      <c r="A1850" t="s">
        <v>539</v>
      </c>
      <c r="B1850" t="s">
        <v>397</v>
      </c>
      <c r="C1850" t="s">
        <v>540</v>
      </c>
      <c r="D1850">
        <v>863311909</v>
      </c>
      <c r="E1850" t="s">
        <v>9</v>
      </c>
      <c r="F1850" s="1">
        <v>45651</v>
      </c>
      <c r="G1850" t="s">
        <v>440</v>
      </c>
      <c r="H1850" s="2">
        <v>1245.42</v>
      </c>
      <c r="I1850" t="s">
        <v>25</v>
      </c>
      <c r="J1850" t="s">
        <v>22</v>
      </c>
      <c r="K1850" t="s">
        <v>16</v>
      </c>
    </row>
    <row r="1851" spans="1:11" x14ac:dyDescent="0.25">
      <c r="A1851" t="s">
        <v>1533</v>
      </c>
      <c r="B1851" t="s">
        <v>216</v>
      </c>
      <c r="C1851" t="s">
        <v>1534</v>
      </c>
      <c r="D1851">
        <v>722429412</v>
      </c>
      <c r="E1851" t="s">
        <v>9</v>
      </c>
      <c r="F1851" s="1">
        <v>45348</v>
      </c>
      <c r="G1851" t="s">
        <v>29</v>
      </c>
      <c r="H1851" s="2">
        <v>431.35</v>
      </c>
      <c r="I1851" t="s">
        <v>25</v>
      </c>
      <c r="J1851" t="s">
        <v>22</v>
      </c>
      <c r="K1851" t="s">
        <v>16</v>
      </c>
    </row>
    <row r="1852" spans="1:11" x14ac:dyDescent="0.25">
      <c r="A1852" t="s">
        <v>1022</v>
      </c>
      <c r="B1852" t="s">
        <v>181</v>
      </c>
      <c r="C1852" t="s">
        <v>1023</v>
      </c>
      <c r="D1852">
        <v>711121687</v>
      </c>
      <c r="E1852" t="s">
        <v>18</v>
      </c>
      <c r="F1852" s="1">
        <v>45674</v>
      </c>
      <c r="G1852" t="s">
        <v>423</v>
      </c>
      <c r="H1852" s="2">
        <v>778.41</v>
      </c>
      <c r="I1852" t="s">
        <v>25</v>
      </c>
      <c r="J1852" t="s">
        <v>26</v>
      </c>
      <c r="K1852" t="s">
        <v>16</v>
      </c>
    </row>
    <row r="1853" spans="1:11" x14ac:dyDescent="0.25">
      <c r="A1853" t="s">
        <v>1547</v>
      </c>
      <c r="B1853" t="s">
        <v>371</v>
      </c>
      <c r="C1853" t="s">
        <v>1548</v>
      </c>
      <c r="D1853">
        <v>707005641</v>
      </c>
      <c r="E1853" t="s">
        <v>9</v>
      </c>
      <c r="F1853" s="1">
        <v>45569</v>
      </c>
      <c r="G1853" t="s">
        <v>475</v>
      </c>
      <c r="H1853" s="2">
        <v>1046.8800000000001</v>
      </c>
      <c r="I1853" t="s">
        <v>25</v>
      </c>
      <c r="J1853" t="s">
        <v>22</v>
      </c>
      <c r="K1853" t="s">
        <v>12</v>
      </c>
    </row>
    <row r="1854" spans="1:11" x14ac:dyDescent="0.25">
      <c r="A1854" t="s">
        <v>606</v>
      </c>
      <c r="B1854" t="s">
        <v>75</v>
      </c>
      <c r="C1854" t="s">
        <v>607</v>
      </c>
      <c r="D1854">
        <v>701371902</v>
      </c>
      <c r="E1854" t="s">
        <v>9</v>
      </c>
      <c r="F1854" s="1">
        <v>45587</v>
      </c>
      <c r="G1854" t="s">
        <v>39</v>
      </c>
      <c r="H1854" s="2">
        <v>1608.1</v>
      </c>
      <c r="I1854" t="s">
        <v>25</v>
      </c>
      <c r="J1854" t="s">
        <v>26</v>
      </c>
      <c r="K1854" t="s">
        <v>12</v>
      </c>
    </row>
    <row r="1855" spans="1:11" x14ac:dyDescent="0.25">
      <c r="A1855" t="s">
        <v>562</v>
      </c>
      <c r="B1855" t="s">
        <v>356</v>
      </c>
      <c r="C1855" t="s">
        <v>563</v>
      </c>
      <c r="D1855">
        <v>747024959</v>
      </c>
      <c r="E1855" t="s">
        <v>18</v>
      </c>
      <c r="F1855" s="1">
        <v>45282</v>
      </c>
      <c r="G1855" t="s">
        <v>32</v>
      </c>
      <c r="H1855" s="2">
        <v>1485.42</v>
      </c>
      <c r="I1855" t="s">
        <v>25</v>
      </c>
      <c r="J1855" t="s">
        <v>33</v>
      </c>
      <c r="K1855" t="s">
        <v>16</v>
      </c>
    </row>
    <row r="1856" spans="1:11" x14ac:dyDescent="0.25">
      <c r="A1856" t="s">
        <v>1112</v>
      </c>
      <c r="B1856" t="s">
        <v>1113</v>
      </c>
      <c r="C1856" t="s">
        <v>1114</v>
      </c>
      <c r="D1856">
        <v>636255184</v>
      </c>
      <c r="E1856" t="s">
        <v>9</v>
      </c>
      <c r="F1856" s="1">
        <v>45548</v>
      </c>
      <c r="G1856" t="s">
        <v>415</v>
      </c>
      <c r="H1856" s="2">
        <v>417.81</v>
      </c>
      <c r="I1856" t="s">
        <v>25</v>
      </c>
      <c r="J1856" t="s">
        <v>36</v>
      </c>
      <c r="K1856" t="s">
        <v>16</v>
      </c>
    </row>
    <row r="1857" spans="1:11" x14ac:dyDescent="0.25">
      <c r="A1857" t="s">
        <v>1078</v>
      </c>
      <c r="B1857" t="s">
        <v>102</v>
      </c>
      <c r="C1857" t="s">
        <v>1079</v>
      </c>
      <c r="D1857">
        <v>624808343</v>
      </c>
      <c r="E1857" t="s">
        <v>18</v>
      </c>
      <c r="F1857" s="1">
        <v>45612</v>
      </c>
      <c r="G1857" t="s">
        <v>35</v>
      </c>
      <c r="H1857" s="2">
        <v>1886.8</v>
      </c>
      <c r="I1857" t="s">
        <v>507</v>
      </c>
      <c r="J1857" t="s">
        <v>26</v>
      </c>
      <c r="K1857" t="s">
        <v>16</v>
      </c>
    </row>
    <row r="1858" spans="1:11" x14ac:dyDescent="0.25">
      <c r="A1858" t="s">
        <v>1265</v>
      </c>
      <c r="B1858" t="s">
        <v>86</v>
      </c>
      <c r="C1858" t="s">
        <v>1266</v>
      </c>
      <c r="D1858">
        <v>721786256</v>
      </c>
      <c r="E1858" t="s">
        <v>9</v>
      </c>
      <c r="F1858" s="1">
        <v>45582</v>
      </c>
      <c r="G1858" t="s">
        <v>423</v>
      </c>
      <c r="H1858" s="2">
        <v>256.60000000000002</v>
      </c>
      <c r="I1858" t="s">
        <v>444</v>
      </c>
      <c r="J1858" t="s">
        <v>36</v>
      </c>
      <c r="K1858" t="s">
        <v>16</v>
      </c>
    </row>
    <row r="1859" spans="1:11" x14ac:dyDescent="0.25">
      <c r="A1859" t="s">
        <v>521</v>
      </c>
      <c r="B1859" t="s">
        <v>197</v>
      </c>
      <c r="C1859" t="s">
        <v>522</v>
      </c>
      <c r="D1859">
        <v>705389520</v>
      </c>
      <c r="E1859" t="s">
        <v>13</v>
      </c>
      <c r="F1859" s="1">
        <v>45498</v>
      </c>
      <c r="G1859" t="s">
        <v>10</v>
      </c>
      <c r="H1859" s="2">
        <v>223.04</v>
      </c>
      <c r="I1859" t="s">
        <v>25</v>
      </c>
      <c r="J1859" t="s">
        <v>33</v>
      </c>
      <c r="K1859" t="s">
        <v>16</v>
      </c>
    </row>
    <row r="1860" spans="1:11" x14ac:dyDescent="0.25">
      <c r="A1860" t="s">
        <v>469</v>
      </c>
      <c r="B1860" t="s">
        <v>304</v>
      </c>
      <c r="C1860" t="s">
        <v>470</v>
      </c>
      <c r="D1860">
        <v>742924464</v>
      </c>
      <c r="E1860" t="s">
        <v>18</v>
      </c>
      <c r="F1860" s="1">
        <v>45292</v>
      </c>
      <c r="G1860" t="s">
        <v>443</v>
      </c>
      <c r="H1860" s="2">
        <v>1167.5899999999999</v>
      </c>
      <c r="I1860" t="s">
        <v>25</v>
      </c>
      <c r="J1860" t="s">
        <v>22</v>
      </c>
      <c r="K1860" t="s">
        <v>16</v>
      </c>
    </row>
    <row r="1861" spans="1:11" x14ac:dyDescent="0.25">
      <c r="A1861" t="s">
        <v>1106</v>
      </c>
      <c r="B1861" t="s">
        <v>144</v>
      </c>
      <c r="C1861" t="s">
        <v>1107</v>
      </c>
      <c r="D1861">
        <v>720043779</v>
      </c>
      <c r="E1861" t="s">
        <v>9</v>
      </c>
      <c r="F1861" s="1">
        <v>45877</v>
      </c>
      <c r="G1861" t="s">
        <v>451</v>
      </c>
      <c r="H1861" s="2">
        <v>1467.67</v>
      </c>
      <c r="I1861" t="s">
        <v>25</v>
      </c>
      <c r="J1861" t="s">
        <v>11</v>
      </c>
      <c r="K1861" t="s">
        <v>16</v>
      </c>
    </row>
    <row r="1862" spans="1:11" x14ac:dyDescent="0.25">
      <c r="A1862" t="s">
        <v>1329</v>
      </c>
      <c r="B1862" t="s">
        <v>132</v>
      </c>
      <c r="C1862" t="s">
        <v>1330</v>
      </c>
      <c r="D1862">
        <v>967429433</v>
      </c>
      <c r="E1862" t="s">
        <v>18</v>
      </c>
      <c r="F1862" s="1">
        <v>45202</v>
      </c>
      <c r="G1862" t="s">
        <v>19</v>
      </c>
      <c r="H1862" s="2">
        <v>1176.56</v>
      </c>
      <c r="I1862" t="s">
        <v>25</v>
      </c>
      <c r="J1862" t="s">
        <v>36</v>
      </c>
      <c r="K1862" t="s">
        <v>12</v>
      </c>
    </row>
    <row r="1863" spans="1:11" x14ac:dyDescent="0.25">
      <c r="A1863" t="s">
        <v>731</v>
      </c>
      <c r="B1863" t="s">
        <v>65</v>
      </c>
      <c r="C1863" t="s">
        <v>732</v>
      </c>
      <c r="D1863">
        <v>719409141</v>
      </c>
      <c r="E1863" t="s">
        <v>18</v>
      </c>
      <c r="F1863" s="1">
        <v>45528</v>
      </c>
      <c r="G1863" t="s">
        <v>39</v>
      </c>
      <c r="H1863" s="2">
        <v>496.34</v>
      </c>
      <c r="I1863" t="s">
        <v>444</v>
      </c>
      <c r="J1863" t="s">
        <v>11</v>
      </c>
      <c r="K1863" t="s">
        <v>16</v>
      </c>
    </row>
    <row r="1864" spans="1:11" x14ac:dyDescent="0.25">
      <c r="A1864" t="s">
        <v>1249</v>
      </c>
      <c r="B1864" t="s">
        <v>211</v>
      </c>
      <c r="C1864" t="s">
        <v>1250</v>
      </c>
      <c r="D1864">
        <v>743281688</v>
      </c>
      <c r="E1864" t="s">
        <v>18</v>
      </c>
      <c r="F1864" s="1">
        <v>45239</v>
      </c>
      <c r="G1864" t="s">
        <v>10</v>
      </c>
      <c r="H1864" s="2">
        <v>1605.85</v>
      </c>
      <c r="I1864" t="s">
        <v>25</v>
      </c>
      <c r="J1864" t="s">
        <v>11</v>
      </c>
      <c r="K1864" t="s">
        <v>16</v>
      </c>
    </row>
    <row r="1865" spans="1:11" x14ac:dyDescent="0.25">
      <c r="A1865" t="s">
        <v>1088</v>
      </c>
      <c r="B1865" t="s">
        <v>179</v>
      </c>
      <c r="C1865" t="s">
        <v>1089</v>
      </c>
      <c r="D1865">
        <v>676942883</v>
      </c>
      <c r="E1865" t="s">
        <v>9</v>
      </c>
      <c r="F1865" s="1">
        <v>45334</v>
      </c>
      <c r="G1865" t="s">
        <v>440</v>
      </c>
      <c r="H1865" s="2">
        <v>379.66</v>
      </c>
      <c r="I1865" t="s">
        <v>25</v>
      </c>
      <c r="J1865" t="s">
        <v>33</v>
      </c>
      <c r="K1865" t="s">
        <v>12</v>
      </c>
    </row>
    <row r="1866" spans="1:11" x14ac:dyDescent="0.25">
      <c r="A1866" t="s">
        <v>792</v>
      </c>
      <c r="B1866" t="s">
        <v>179</v>
      </c>
      <c r="C1866" t="s">
        <v>793</v>
      </c>
      <c r="D1866">
        <v>628481126</v>
      </c>
      <c r="E1866" t="s">
        <v>9</v>
      </c>
      <c r="F1866" s="1">
        <v>45723</v>
      </c>
      <c r="G1866" t="s">
        <v>21</v>
      </c>
      <c r="H1866" s="2">
        <v>1766.89</v>
      </c>
      <c r="I1866" t="s">
        <v>25</v>
      </c>
      <c r="J1866" t="s">
        <v>33</v>
      </c>
      <c r="K1866" t="s">
        <v>16</v>
      </c>
    </row>
    <row r="1867" spans="1:11" x14ac:dyDescent="0.25">
      <c r="A1867" t="s">
        <v>841</v>
      </c>
      <c r="B1867" t="s">
        <v>275</v>
      </c>
      <c r="C1867" t="s">
        <v>842</v>
      </c>
      <c r="D1867">
        <v>709339074</v>
      </c>
      <c r="E1867" t="s">
        <v>9</v>
      </c>
      <c r="F1867" s="1">
        <v>45758</v>
      </c>
      <c r="G1867" t="s">
        <v>460</v>
      </c>
      <c r="H1867" s="2">
        <v>1592.52</v>
      </c>
      <c r="I1867" t="s">
        <v>25</v>
      </c>
      <c r="J1867" t="s">
        <v>22</v>
      </c>
      <c r="K1867" t="s">
        <v>12</v>
      </c>
    </row>
    <row r="1868" spans="1:11" x14ac:dyDescent="0.25">
      <c r="A1868" t="s">
        <v>1272</v>
      </c>
      <c r="B1868" t="s">
        <v>313</v>
      </c>
      <c r="C1868" t="s">
        <v>1273</v>
      </c>
      <c r="D1868">
        <v>878768666</v>
      </c>
      <c r="E1868" t="s">
        <v>13</v>
      </c>
      <c r="F1868" s="1">
        <v>45332</v>
      </c>
      <c r="G1868" t="s">
        <v>518</v>
      </c>
      <c r="H1868" s="2">
        <v>961.11</v>
      </c>
      <c r="I1868" t="s">
        <v>25</v>
      </c>
      <c r="J1868" t="s">
        <v>33</v>
      </c>
      <c r="K1868" t="s">
        <v>16</v>
      </c>
    </row>
    <row r="1869" spans="1:11" x14ac:dyDescent="0.25">
      <c r="A1869" t="s">
        <v>671</v>
      </c>
      <c r="B1869" t="s">
        <v>204</v>
      </c>
      <c r="C1869" t="s">
        <v>672</v>
      </c>
      <c r="D1869">
        <v>717655927</v>
      </c>
      <c r="E1869" t="s">
        <v>18</v>
      </c>
      <c r="F1869" s="1">
        <v>45578</v>
      </c>
      <c r="G1869" t="s">
        <v>624</v>
      </c>
      <c r="H1869" s="2">
        <v>1861.05</v>
      </c>
      <c r="I1869" t="s">
        <v>25</v>
      </c>
      <c r="J1869" t="s">
        <v>36</v>
      </c>
      <c r="K1869" t="s">
        <v>12</v>
      </c>
    </row>
    <row r="1870" spans="1:11" x14ac:dyDescent="0.25">
      <c r="A1870" t="s">
        <v>970</v>
      </c>
      <c r="B1870" t="s">
        <v>289</v>
      </c>
      <c r="C1870" t="s">
        <v>971</v>
      </c>
      <c r="D1870">
        <v>804914249</v>
      </c>
      <c r="E1870" t="s">
        <v>9</v>
      </c>
      <c r="F1870" s="1">
        <v>45763</v>
      </c>
      <c r="G1870" t="s">
        <v>418</v>
      </c>
      <c r="H1870" s="2">
        <v>1634.39</v>
      </c>
      <c r="I1870" t="s">
        <v>25</v>
      </c>
      <c r="J1870" t="s">
        <v>22</v>
      </c>
      <c r="K1870" t="s">
        <v>16</v>
      </c>
    </row>
    <row r="1871" spans="1:11" x14ac:dyDescent="0.25">
      <c r="A1871" t="s">
        <v>1168</v>
      </c>
      <c r="B1871" t="s">
        <v>74</v>
      </c>
      <c r="C1871" t="s">
        <v>1169</v>
      </c>
      <c r="D1871">
        <v>721034679</v>
      </c>
      <c r="E1871" t="s">
        <v>9</v>
      </c>
      <c r="F1871" s="1">
        <v>45220</v>
      </c>
      <c r="G1871" t="s">
        <v>603</v>
      </c>
      <c r="H1871" s="2">
        <v>631.34</v>
      </c>
      <c r="I1871" t="s">
        <v>25</v>
      </c>
      <c r="J1871" t="s">
        <v>33</v>
      </c>
      <c r="K1871" t="s">
        <v>12</v>
      </c>
    </row>
    <row r="1872" spans="1:11" x14ac:dyDescent="0.25">
      <c r="A1872" t="s">
        <v>780</v>
      </c>
      <c r="B1872" t="s">
        <v>205</v>
      </c>
      <c r="C1872" t="s">
        <v>781</v>
      </c>
      <c r="D1872">
        <v>710606110</v>
      </c>
      <c r="E1872" t="s">
        <v>18</v>
      </c>
      <c r="F1872" s="1">
        <v>45345</v>
      </c>
      <c r="G1872" t="s">
        <v>21</v>
      </c>
      <c r="H1872" s="2">
        <v>1173.83</v>
      </c>
      <c r="I1872" t="s">
        <v>25</v>
      </c>
      <c r="J1872" t="s">
        <v>11</v>
      </c>
      <c r="K1872" t="s">
        <v>12</v>
      </c>
    </row>
    <row r="1873" spans="1:11" x14ac:dyDescent="0.25">
      <c r="A1873" t="s">
        <v>1106</v>
      </c>
      <c r="B1873" t="s">
        <v>144</v>
      </c>
      <c r="C1873" t="s">
        <v>1107</v>
      </c>
      <c r="D1873">
        <v>720043779</v>
      </c>
      <c r="E1873" t="s">
        <v>9</v>
      </c>
      <c r="F1873" s="1">
        <v>45238</v>
      </c>
      <c r="G1873" t="s">
        <v>451</v>
      </c>
      <c r="H1873" s="2">
        <v>1177.18</v>
      </c>
      <c r="I1873" t="s">
        <v>444</v>
      </c>
      <c r="J1873" t="s">
        <v>22</v>
      </c>
      <c r="K1873" t="s">
        <v>16</v>
      </c>
    </row>
    <row r="1874" spans="1:11" x14ac:dyDescent="0.25">
      <c r="A1874" t="s">
        <v>743</v>
      </c>
      <c r="B1874" t="s">
        <v>48</v>
      </c>
      <c r="C1874" t="s">
        <v>744</v>
      </c>
      <c r="D1874">
        <v>951388515</v>
      </c>
      <c r="E1874" t="s">
        <v>9</v>
      </c>
      <c r="F1874" s="1">
        <v>45689</v>
      </c>
      <c r="G1874" t="s">
        <v>451</v>
      </c>
      <c r="H1874" s="2">
        <v>24.21</v>
      </c>
      <c r="I1874" t="s">
        <v>444</v>
      </c>
      <c r="J1874" t="s">
        <v>11</v>
      </c>
      <c r="K1874" t="s">
        <v>12</v>
      </c>
    </row>
    <row r="1875" spans="1:11" x14ac:dyDescent="0.25">
      <c r="A1875" t="s">
        <v>570</v>
      </c>
      <c r="B1875" t="s">
        <v>571</v>
      </c>
      <c r="C1875" t="s">
        <v>572</v>
      </c>
      <c r="D1875">
        <v>713291022</v>
      </c>
      <c r="E1875" t="s">
        <v>13</v>
      </c>
      <c r="F1875" s="1">
        <v>45470</v>
      </c>
      <c r="G1875" t="s">
        <v>418</v>
      </c>
      <c r="H1875" s="2">
        <v>1557.43</v>
      </c>
      <c r="I1875" t="s">
        <v>25</v>
      </c>
      <c r="J1875" t="s">
        <v>33</v>
      </c>
      <c r="K1875" t="s">
        <v>16</v>
      </c>
    </row>
    <row r="1876" spans="1:11" x14ac:dyDescent="0.25">
      <c r="A1876" t="s">
        <v>449</v>
      </c>
      <c r="B1876" t="s">
        <v>88</v>
      </c>
      <c r="C1876" t="s">
        <v>450</v>
      </c>
      <c r="D1876">
        <v>739522597</v>
      </c>
      <c r="E1876" t="s">
        <v>9</v>
      </c>
      <c r="F1876" s="1">
        <v>45652</v>
      </c>
      <c r="G1876" t="s">
        <v>451</v>
      </c>
      <c r="H1876" s="2">
        <v>115.17</v>
      </c>
      <c r="I1876" t="s">
        <v>444</v>
      </c>
      <c r="J1876" t="s">
        <v>11</v>
      </c>
      <c r="K1876" t="s">
        <v>12</v>
      </c>
    </row>
    <row r="1877" spans="1:11" x14ac:dyDescent="0.25">
      <c r="A1877" t="s">
        <v>1342</v>
      </c>
      <c r="B1877" t="s">
        <v>401</v>
      </c>
      <c r="C1877" t="s">
        <v>1343</v>
      </c>
      <c r="D1877">
        <v>721713548</v>
      </c>
      <c r="E1877" t="s">
        <v>9</v>
      </c>
      <c r="F1877" s="1">
        <v>45824</v>
      </c>
      <c r="G1877" t="s">
        <v>415</v>
      </c>
      <c r="H1877" s="2">
        <v>771.23</v>
      </c>
      <c r="I1877" t="s">
        <v>25</v>
      </c>
      <c r="J1877" t="s">
        <v>33</v>
      </c>
      <c r="K1877" t="s">
        <v>12</v>
      </c>
    </row>
    <row r="1878" spans="1:11" x14ac:dyDescent="0.25">
      <c r="A1878" t="s">
        <v>649</v>
      </c>
      <c r="B1878" t="s">
        <v>23</v>
      </c>
      <c r="C1878" t="s">
        <v>650</v>
      </c>
      <c r="D1878">
        <v>681942999</v>
      </c>
      <c r="E1878" t="s">
        <v>9</v>
      </c>
      <c r="F1878" s="1">
        <v>45475</v>
      </c>
      <c r="G1878" t="s">
        <v>10</v>
      </c>
      <c r="H1878" s="2">
        <v>1068.52</v>
      </c>
      <c r="I1878" t="s">
        <v>25</v>
      </c>
      <c r="J1878" t="s">
        <v>22</v>
      </c>
      <c r="K1878" t="s">
        <v>12</v>
      </c>
    </row>
    <row r="1879" spans="1:11" x14ac:dyDescent="0.25">
      <c r="A1879" t="s">
        <v>858</v>
      </c>
      <c r="B1879" t="s">
        <v>272</v>
      </c>
      <c r="C1879" t="s">
        <v>859</v>
      </c>
      <c r="D1879">
        <v>726664477</v>
      </c>
      <c r="E1879" t="s">
        <v>9</v>
      </c>
      <c r="F1879" s="1">
        <v>45348</v>
      </c>
      <c r="G1879" t="s">
        <v>24</v>
      </c>
      <c r="H1879" s="2">
        <v>276.3</v>
      </c>
      <c r="I1879" t="s">
        <v>25</v>
      </c>
      <c r="J1879" t="s">
        <v>33</v>
      </c>
      <c r="K1879" t="s">
        <v>12</v>
      </c>
    </row>
    <row r="1880" spans="1:11" x14ac:dyDescent="0.25">
      <c r="A1880" t="s">
        <v>1220</v>
      </c>
      <c r="B1880" t="s">
        <v>294</v>
      </c>
      <c r="C1880" t="s">
        <v>1221</v>
      </c>
      <c r="D1880">
        <v>731230632</v>
      </c>
      <c r="E1880" t="s">
        <v>9</v>
      </c>
      <c r="F1880" s="1">
        <v>45671</v>
      </c>
      <c r="G1880" t="s">
        <v>475</v>
      </c>
      <c r="H1880" s="2">
        <v>770.33</v>
      </c>
      <c r="I1880" t="s">
        <v>25</v>
      </c>
      <c r="J1880" t="s">
        <v>36</v>
      </c>
      <c r="K1880" t="s">
        <v>16</v>
      </c>
    </row>
    <row r="1881" spans="1:11" x14ac:dyDescent="0.25">
      <c r="A1881" t="s">
        <v>1280</v>
      </c>
      <c r="B1881" t="s">
        <v>230</v>
      </c>
      <c r="C1881" t="s">
        <v>1281</v>
      </c>
      <c r="D1881">
        <v>865720278</v>
      </c>
      <c r="E1881" t="s">
        <v>9</v>
      </c>
      <c r="F1881" s="1">
        <v>45614</v>
      </c>
      <c r="G1881" t="s">
        <v>440</v>
      </c>
      <c r="H1881" s="2">
        <v>1941.92</v>
      </c>
      <c r="I1881" t="s">
        <v>25</v>
      </c>
      <c r="J1881" t="s">
        <v>33</v>
      </c>
      <c r="K1881" t="s">
        <v>16</v>
      </c>
    </row>
    <row r="1882" spans="1:11" x14ac:dyDescent="0.25">
      <c r="A1882" t="s">
        <v>675</v>
      </c>
      <c r="B1882" t="s">
        <v>288</v>
      </c>
      <c r="C1882" t="s">
        <v>676</v>
      </c>
      <c r="D1882">
        <v>715497471</v>
      </c>
      <c r="E1882" t="s">
        <v>9</v>
      </c>
      <c r="F1882" s="1">
        <v>45586</v>
      </c>
      <c r="G1882" t="s">
        <v>518</v>
      </c>
      <c r="H1882" s="2">
        <v>1286.1600000000001</v>
      </c>
      <c r="I1882" t="s">
        <v>444</v>
      </c>
      <c r="J1882" t="s">
        <v>33</v>
      </c>
      <c r="K1882" t="s">
        <v>12</v>
      </c>
    </row>
    <row r="1883" spans="1:11" x14ac:dyDescent="0.25">
      <c r="A1883" t="s">
        <v>1292</v>
      </c>
      <c r="B1883" t="s">
        <v>1293</v>
      </c>
      <c r="C1883" t="s">
        <v>1294</v>
      </c>
      <c r="D1883">
        <v>660996978</v>
      </c>
      <c r="E1883" t="s">
        <v>18</v>
      </c>
      <c r="F1883" s="1">
        <v>45861</v>
      </c>
      <c r="G1883" t="s">
        <v>14</v>
      </c>
      <c r="H1883" s="2">
        <v>1478.87</v>
      </c>
      <c r="I1883" t="s">
        <v>25</v>
      </c>
      <c r="J1883" t="s">
        <v>33</v>
      </c>
      <c r="K1883" t="s">
        <v>16</v>
      </c>
    </row>
    <row r="1884" spans="1:11" x14ac:dyDescent="0.25">
      <c r="A1884" t="s">
        <v>1490</v>
      </c>
      <c r="B1884" t="s">
        <v>51</v>
      </c>
      <c r="C1884" t="s">
        <v>1491</v>
      </c>
      <c r="D1884">
        <v>743295032</v>
      </c>
      <c r="E1884" t="s">
        <v>9</v>
      </c>
      <c r="F1884" s="1">
        <v>45596</v>
      </c>
      <c r="G1884" t="s">
        <v>478</v>
      </c>
      <c r="H1884" s="2">
        <v>436.79</v>
      </c>
      <c r="I1884" t="s">
        <v>25</v>
      </c>
      <c r="J1884" t="s">
        <v>22</v>
      </c>
      <c r="K1884" t="s">
        <v>12</v>
      </c>
    </row>
    <row r="1885" spans="1:11" x14ac:dyDescent="0.25">
      <c r="A1885" t="s">
        <v>1182</v>
      </c>
      <c r="B1885" t="s">
        <v>328</v>
      </c>
      <c r="C1885" t="s">
        <v>1183</v>
      </c>
      <c r="D1885">
        <v>688673130</v>
      </c>
      <c r="E1885" t="s">
        <v>18</v>
      </c>
      <c r="F1885" s="1">
        <v>45808</v>
      </c>
      <c r="G1885" t="s">
        <v>624</v>
      </c>
      <c r="H1885" s="2">
        <v>153.31</v>
      </c>
      <c r="I1885" t="s">
        <v>25</v>
      </c>
      <c r="J1885" t="s">
        <v>26</v>
      </c>
      <c r="K1885" t="s">
        <v>16</v>
      </c>
    </row>
    <row r="1886" spans="1:11" x14ac:dyDescent="0.25">
      <c r="A1886" t="s">
        <v>897</v>
      </c>
      <c r="B1886" t="s">
        <v>79</v>
      </c>
      <c r="C1886" t="s">
        <v>898</v>
      </c>
      <c r="D1886">
        <v>742875737</v>
      </c>
      <c r="E1886" t="s">
        <v>9</v>
      </c>
      <c r="F1886" s="1">
        <v>45849</v>
      </c>
      <c r="G1886" t="s">
        <v>423</v>
      </c>
      <c r="H1886" s="2">
        <v>850.98</v>
      </c>
      <c r="I1886" t="s">
        <v>25</v>
      </c>
      <c r="J1886" t="s">
        <v>33</v>
      </c>
      <c r="K1886" t="s">
        <v>16</v>
      </c>
    </row>
    <row r="1887" spans="1:11" x14ac:dyDescent="0.25">
      <c r="A1887" t="s">
        <v>978</v>
      </c>
      <c r="B1887" t="s">
        <v>355</v>
      </c>
      <c r="C1887" t="s">
        <v>979</v>
      </c>
      <c r="D1887">
        <v>721979865</v>
      </c>
      <c r="E1887" t="s">
        <v>9</v>
      </c>
      <c r="F1887" s="1">
        <v>45735</v>
      </c>
      <c r="G1887" t="s">
        <v>518</v>
      </c>
      <c r="H1887" s="2">
        <v>558.58000000000004</v>
      </c>
      <c r="I1887" t="s">
        <v>507</v>
      </c>
      <c r="J1887" t="s">
        <v>36</v>
      </c>
      <c r="K1887" t="s">
        <v>12</v>
      </c>
    </row>
    <row r="1888" spans="1:11" x14ac:dyDescent="0.25">
      <c r="A1888" t="s">
        <v>1400</v>
      </c>
      <c r="B1888" t="s">
        <v>65</v>
      </c>
      <c r="C1888" t="s">
        <v>1401</v>
      </c>
      <c r="D1888">
        <v>739254068</v>
      </c>
      <c r="E1888" t="s">
        <v>18</v>
      </c>
      <c r="F1888" s="1">
        <v>45275</v>
      </c>
      <c r="G1888" t="s">
        <v>440</v>
      </c>
      <c r="H1888" s="2">
        <v>896.97</v>
      </c>
      <c r="I1888" t="s">
        <v>25</v>
      </c>
      <c r="J1888" t="s">
        <v>11</v>
      </c>
      <c r="K1888" t="s">
        <v>12</v>
      </c>
    </row>
    <row r="1889" spans="1:11" x14ac:dyDescent="0.25">
      <c r="A1889" t="s">
        <v>1400</v>
      </c>
      <c r="B1889" t="s">
        <v>65</v>
      </c>
      <c r="C1889" t="s">
        <v>1401</v>
      </c>
      <c r="D1889">
        <v>739254068</v>
      </c>
      <c r="E1889" t="s">
        <v>18</v>
      </c>
      <c r="F1889" s="1">
        <v>45787</v>
      </c>
      <c r="G1889" t="s">
        <v>440</v>
      </c>
      <c r="H1889" s="2">
        <v>1420.94</v>
      </c>
      <c r="I1889" t="s">
        <v>444</v>
      </c>
      <c r="J1889" t="s">
        <v>26</v>
      </c>
      <c r="K1889" t="s">
        <v>16</v>
      </c>
    </row>
    <row r="1890" spans="1:11" x14ac:dyDescent="0.25">
      <c r="A1890" t="s">
        <v>1151</v>
      </c>
      <c r="B1890" t="s">
        <v>396</v>
      </c>
      <c r="C1890" t="s">
        <v>1152</v>
      </c>
      <c r="D1890">
        <v>741286548</v>
      </c>
      <c r="E1890" t="s">
        <v>18</v>
      </c>
      <c r="F1890" s="1">
        <v>45607</v>
      </c>
      <c r="G1890" t="s">
        <v>443</v>
      </c>
      <c r="H1890" s="2">
        <v>220.53</v>
      </c>
      <c r="I1890" t="s">
        <v>444</v>
      </c>
      <c r="J1890" t="s">
        <v>11</v>
      </c>
      <c r="K1890" t="s">
        <v>12</v>
      </c>
    </row>
    <row r="1891" spans="1:11" x14ac:dyDescent="0.25">
      <c r="A1891" t="s">
        <v>1549</v>
      </c>
      <c r="B1891" t="s">
        <v>170</v>
      </c>
      <c r="C1891" t="s">
        <v>1550</v>
      </c>
      <c r="D1891">
        <v>718679112</v>
      </c>
      <c r="E1891" t="s">
        <v>9</v>
      </c>
      <c r="F1891" s="1">
        <v>45857</v>
      </c>
      <c r="G1891" t="s">
        <v>418</v>
      </c>
      <c r="H1891" s="2">
        <v>403.85</v>
      </c>
      <c r="I1891" t="s">
        <v>25</v>
      </c>
      <c r="J1891" t="s">
        <v>11</v>
      </c>
      <c r="K1891" t="s">
        <v>16</v>
      </c>
    </row>
    <row r="1892" spans="1:11" x14ac:dyDescent="0.25">
      <c r="A1892" t="s">
        <v>606</v>
      </c>
      <c r="B1892" t="s">
        <v>75</v>
      </c>
      <c r="C1892" t="s">
        <v>607</v>
      </c>
      <c r="D1892">
        <v>701371902</v>
      </c>
      <c r="E1892" t="s">
        <v>9</v>
      </c>
      <c r="F1892" s="1">
        <v>45235</v>
      </c>
      <c r="G1892" t="s">
        <v>39</v>
      </c>
      <c r="H1892" s="2">
        <v>1918.99</v>
      </c>
      <c r="I1892" t="s">
        <v>444</v>
      </c>
      <c r="J1892" t="s">
        <v>22</v>
      </c>
      <c r="K1892" t="s">
        <v>12</v>
      </c>
    </row>
    <row r="1893" spans="1:11" x14ac:dyDescent="0.25">
      <c r="A1893" t="s">
        <v>1551</v>
      </c>
      <c r="B1893" t="s">
        <v>298</v>
      </c>
      <c r="C1893" t="s">
        <v>1552</v>
      </c>
      <c r="D1893">
        <v>979168881</v>
      </c>
      <c r="E1893" t="s">
        <v>9</v>
      </c>
      <c r="F1893" s="1">
        <v>45426</v>
      </c>
      <c r="G1893" t="s">
        <v>47</v>
      </c>
      <c r="H1893" s="2">
        <v>727.47</v>
      </c>
      <c r="I1893" t="s">
        <v>25</v>
      </c>
      <c r="J1893" t="s">
        <v>22</v>
      </c>
      <c r="K1893" t="s">
        <v>12</v>
      </c>
    </row>
    <row r="1894" spans="1:11" x14ac:dyDescent="0.25">
      <c r="A1894" t="s">
        <v>1180</v>
      </c>
      <c r="B1894" t="s">
        <v>246</v>
      </c>
      <c r="C1894" t="s">
        <v>1181</v>
      </c>
      <c r="D1894">
        <v>974043470</v>
      </c>
      <c r="E1894" t="s">
        <v>18</v>
      </c>
      <c r="F1894" s="1">
        <v>45607</v>
      </c>
      <c r="G1894" t="s">
        <v>415</v>
      </c>
      <c r="H1894" s="2">
        <v>178.32</v>
      </c>
      <c r="I1894" t="s">
        <v>25</v>
      </c>
      <c r="J1894" t="s">
        <v>11</v>
      </c>
      <c r="K1894" t="s">
        <v>12</v>
      </c>
    </row>
    <row r="1895" spans="1:11" x14ac:dyDescent="0.25">
      <c r="A1895" t="s">
        <v>633</v>
      </c>
      <c r="B1895" t="s">
        <v>397</v>
      </c>
      <c r="C1895" t="s">
        <v>634</v>
      </c>
      <c r="D1895">
        <v>749804420</v>
      </c>
      <c r="E1895" t="s">
        <v>18</v>
      </c>
      <c r="F1895" s="1">
        <v>45201</v>
      </c>
      <c r="G1895" t="s">
        <v>624</v>
      </c>
      <c r="H1895" s="2">
        <v>1346.76</v>
      </c>
      <c r="I1895" t="s">
        <v>25</v>
      </c>
      <c r="J1895" t="s">
        <v>36</v>
      </c>
      <c r="K1895" t="s">
        <v>12</v>
      </c>
    </row>
    <row r="1896" spans="1:11" x14ac:dyDescent="0.25">
      <c r="A1896" t="s">
        <v>584</v>
      </c>
      <c r="B1896" t="s">
        <v>68</v>
      </c>
      <c r="C1896" t="s">
        <v>585</v>
      </c>
      <c r="D1896">
        <v>699605788</v>
      </c>
      <c r="E1896" t="s">
        <v>18</v>
      </c>
      <c r="F1896" s="1">
        <v>45561</v>
      </c>
      <c r="G1896" t="s">
        <v>440</v>
      </c>
      <c r="H1896" s="2">
        <v>175.62</v>
      </c>
      <c r="I1896" t="s">
        <v>25</v>
      </c>
      <c r="J1896" t="s">
        <v>11</v>
      </c>
      <c r="K1896" t="s">
        <v>16</v>
      </c>
    </row>
    <row r="1897" spans="1:11" x14ac:dyDescent="0.25">
      <c r="A1897" t="s">
        <v>875</v>
      </c>
      <c r="B1897" t="s">
        <v>97</v>
      </c>
      <c r="C1897" t="s">
        <v>876</v>
      </c>
      <c r="D1897">
        <v>621081475</v>
      </c>
      <c r="E1897" t="s">
        <v>18</v>
      </c>
      <c r="F1897" s="1">
        <v>45809</v>
      </c>
      <c r="G1897" t="s">
        <v>21</v>
      </c>
      <c r="H1897" s="2">
        <v>12.82</v>
      </c>
      <c r="I1897" t="s">
        <v>444</v>
      </c>
      <c r="J1897" t="s">
        <v>26</v>
      </c>
      <c r="K1897" t="s">
        <v>16</v>
      </c>
    </row>
    <row r="1898" spans="1:11" x14ac:dyDescent="0.25">
      <c r="A1898" t="s">
        <v>1276</v>
      </c>
      <c r="B1898" t="s">
        <v>42</v>
      </c>
      <c r="C1898" t="s">
        <v>1277</v>
      </c>
      <c r="D1898">
        <v>746518380</v>
      </c>
      <c r="E1898" t="s">
        <v>18</v>
      </c>
      <c r="F1898" s="1">
        <v>45560</v>
      </c>
      <c r="G1898" t="s">
        <v>29</v>
      </c>
      <c r="H1898" s="2">
        <v>928.65</v>
      </c>
      <c r="I1898" t="s">
        <v>444</v>
      </c>
      <c r="J1898" t="s">
        <v>11</v>
      </c>
      <c r="K1898" t="s">
        <v>16</v>
      </c>
    </row>
    <row r="1899" spans="1:11" x14ac:dyDescent="0.25">
      <c r="A1899" t="s">
        <v>629</v>
      </c>
      <c r="B1899" t="s">
        <v>62</v>
      </c>
      <c r="C1899" t="s">
        <v>630</v>
      </c>
      <c r="D1899">
        <v>649943369</v>
      </c>
      <c r="E1899" t="s">
        <v>18</v>
      </c>
      <c r="F1899" s="1">
        <v>45680</v>
      </c>
      <c r="G1899" t="s">
        <v>21</v>
      </c>
      <c r="H1899" s="2">
        <v>232.95</v>
      </c>
      <c r="I1899" t="s">
        <v>25</v>
      </c>
      <c r="J1899" t="s">
        <v>11</v>
      </c>
      <c r="K1899" t="s">
        <v>16</v>
      </c>
    </row>
    <row r="1900" spans="1:11" x14ac:dyDescent="0.25">
      <c r="A1900" t="s">
        <v>673</v>
      </c>
      <c r="B1900" t="s">
        <v>331</v>
      </c>
      <c r="C1900" t="s">
        <v>674</v>
      </c>
      <c r="D1900">
        <v>708260146</v>
      </c>
      <c r="E1900" t="s">
        <v>13</v>
      </c>
      <c r="F1900" s="1">
        <v>45656</v>
      </c>
      <c r="G1900" t="s">
        <v>10</v>
      </c>
      <c r="H1900" s="2">
        <v>333.16</v>
      </c>
      <c r="I1900" t="s">
        <v>25</v>
      </c>
      <c r="J1900" t="s">
        <v>11</v>
      </c>
      <c r="K1900" t="s">
        <v>16</v>
      </c>
    </row>
    <row r="1901" spans="1:11" x14ac:dyDescent="0.25">
      <c r="A1901" t="s">
        <v>1509</v>
      </c>
      <c r="B1901" t="s">
        <v>359</v>
      </c>
      <c r="C1901" t="s">
        <v>1510</v>
      </c>
      <c r="D1901">
        <v>749061001</v>
      </c>
      <c r="E1901" t="s">
        <v>9</v>
      </c>
      <c r="F1901" s="1">
        <v>45711</v>
      </c>
      <c r="G1901" t="s">
        <v>451</v>
      </c>
      <c r="H1901" s="2">
        <v>1641.54</v>
      </c>
      <c r="I1901" t="s">
        <v>25</v>
      </c>
      <c r="J1901" t="s">
        <v>22</v>
      </c>
      <c r="K1901" t="s">
        <v>12</v>
      </c>
    </row>
    <row r="1902" spans="1:11" x14ac:dyDescent="0.25">
      <c r="A1902" t="s">
        <v>784</v>
      </c>
      <c r="B1902" t="s">
        <v>240</v>
      </c>
      <c r="C1902" t="s">
        <v>785</v>
      </c>
      <c r="D1902">
        <v>803123797</v>
      </c>
      <c r="E1902" t="s">
        <v>9</v>
      </c>
      <c r="F1902" s="1">
        <v>45422</v>
      </c>
      <c r="G1902" t="s">
        <v>518</v>
      </c>
      <c r="H1902" s="2">
        <v>539.82000000000005</v>
      </c>
      <c r="I1902" t="s">
        <v>25</v>
      </c>
      <c r="J1902" t="s">
        <v>22</v>
      </c>
      <c r="K1902" t="s">
        <v>16</v>
      </c>
    </row>
    <row r="1903" spans="1:11" x14ac:dyDescent="0.25">
      <c r="A1903" t="s">
        <v>1383</v>
      </c>
      <c r="B1903" t="s">
        <v>226</v>
      </c>
      <c r="C1903" t="s">
        <v>1384</v>
      </c>
      <c r="D1903">
        <v>712172275</v>
      </c>
      <c r="E1903" t="s">
        <v>9</v>
      </c>
      <c r="F1903" s="1">
        <v>45246</v>
      </c>
      <c r="G1903" t="s">
        <v>415</v>
      </c>
      <c r="H1903" s="2">
        <v>822.77</v>
      </c>
      <c r="I1903" t="s">
        <v>25</v>
      </c>
      <c r="J1903" t="s">
        <v>11</v>
      </c>
      <c r="K1903" t="s">
        <v>12</v>
      </c>
    </row>
    <row r="1904" spans="1:11" x14ac:dyDescent="0.25">
      <c r="A1904" t="s">
        <v>566</v>
      </c>
      <c r="B1904" t="s">
        <v>321</v>
      </c>
      <c r="C1904" t="s">
        <v>567</v>
      </c>
      <c r="D1904">
        <v>701055024</v>
      </c>
      <c r="E1904" t="s">
        <v>9</v>
      </c>
      <c r="F1904" s="1">
        <v>45256</v>
      </c>
      <c r="G1904" t="s">
        <v>518</v>
      </c>
      <c r="H1904" s="2">
        <v>1732.74</v>
      </c>
      <c r="I1904" t="s">
        <v>444</v>
      </c>
      <c r="J1904" t="s">
        <v>36</v>
      </c>
      <c r="K1904" t="s">
        <v>12</v>
      </c>
    </row>
    <row r="1905" spans="1:11" x14ac:dyDescent="0.25">
      <c r="A1905" t="s">
        <v>1307</v>
      </c>
      <c r="B1905" t="s">
        <v>1308</v>
      </c>
      <c r="C1905" t="s">
        <v>1309</v>
      </c>
      <c r="D1905">
        <v>899491733</v>
      </c>
      <c r="E1905" t="s">
        <v>9</v>
      </c>
      <c r="F1905" s="1">
        <v>45205</v>
      </c>
      <c r="G1905" t="s">
        <v>518</v>
      </c>
      <c r="H1905" s="2">
        <v>47.66</v>
      </c>
      <c r="I1905" t="s">
        <v>444</v>
      </c>
      <c r="J1905" t="s">
        <v>36</v>
      </c>
      <c r="K1905" t="s">
        <v>12</v>
      </c>
    </row>
    <row r="1906" spans="1:11" x14ac:dyDescent="0.25">
      <c r="A1906" t="s">
        <v>1243</v>
      </c>
      <c r="B1906" t="s">
        <v>124</v>
      </c>
      <c r="C1906" t="s">
        <v>1244</v>
      </c>
      <c r="D1906">
        <v>704920235</v>
      </c>
      <c r="E1906" t="s">
        <v>18</v>
      </c>
      <c r="F1906" s="1">
        <v>45706</v>
      </c>
      <c r="G1906" t="s">
        <v>440</v>
      </c>
      <c r="H1906" s="2">
        <v>1996.4</v>
      </c>
      <c r="I1906" t="s">
        <v>25</v>
      </c>
      <c r="J1906" t="s">
        <v>11</v>
      </c>
      <c r="K1906" t="s">
        <v>12</v>
      </c>
    </row>
    <row r="1907" spans="1:11" x14ac:dyDescent="0.25">
      <c r="A1907" t="s">
        <v>765</v>
      </c>
      <c r="B1907" t="s">
        <v>248</v>
      </c>
      <c r="C1907" t="s">
        <v>766</v>
      </c>
      <c r="D1907">
        <v>745695976</v>
      </c>
      <c r="E1907" t="s">
        <v>9</v>
      </c>
      <c r="F1907" s="1">
        <v>45348</v>
      </c>
      <c r="G1907" t="s">
        <v>412</v>
      </c>
      <c r="H1907" s="2">
        <v>1589.49</v>
      </c>
      <c r="I1907" t="s">
        <v>25</v>
      </c>
      <c r="J1907" t="s">
        <v>26</v>
      </c>
      <c r="K1907" t="s">
        <v>16</v>
      </c>
    </row>
    <row r="1908" spans="1:11" x14ac:dyDescent="0.25">
      <c r="A1908" t="s">
        <v>482</v>
      </c>
      <c r="B1908" t="s">
        <v>66</v>
      </c>
      <c r="C1908" t="s">
        <v>483</v>
      </c>
      <c r="D1908">
        <v>951987392</v>
      </c>
      <c r="E1908" t="s">
        <v>9</v>
      </c>
      <c r="F1908" s="1">
        <v>45238</v>
      </c>
      <c r="G1908" t="s">
        <v>440</v>
      </c>
      <c r="H1908" s="2">
        <v>1779.43</v>
      </c>
      <c r="I1908" t="s">
        <v>507</v>
      </c>
      <c r="J1908" t="s">
        <v>22</v>
      </c>
      <c r="K1908" t="s">
        <v>12</v>
      </c>
    </row>
    <row r="1909" spans="1:11" x14ac:dyDescent="0.25">
      <c r="A1909" t="s">
        <v>1404</v>
      </c>
      <c r="B1909" t="s">
        <v>388</v>
      </c>
      <c r="C1909" t="s">
        <v>1405</v>
      </c>
      <c r="D1909">
        <v>996524673</v>
      </c>
      <c r="E1909" t="s">
        <v>9</v>
      </c>
      <c r="F1909" s="1">
        <v>45356</v>
      </c>
      <c r="G1909" t="s">
        <v>35</v>
      </c>
      <c r="H1909" s="2">
        <v>1193.8</v>
      </c>
      <c r="I1909" t="s">
        <v>25</v>
      </c>
      <c r="J1909" t="s">
        <v>22</v>
      </c>
      <c r="K1909" t="s">
        <v>16</v>
      </c>
    </row>
    <row r="1910" spans="1:11" x14ac:dyDescent="0.25">
      <c r="A1910" t="s">
        <v>1301</v>
      </c>
      <c r="B1910" t="s">
        <v>237</v>
      </c>
      <c r="C1910" t="s">
        <v>1302</v>
      </c>
      <c r="D1910">
        <v>742835812</v>
      </c>
      <c r="E1910" t="s">
        <v>9</v>
      </c>
      <c r="F1910" s="1">
        <v>45514</v>
      </c>
      <c r="G1910" t="s">
        <v>14</v>
      </c>
      <c r="H1910" s="2">
        <v>550.09</v>
      </c>
      <c r="I1910" t="s">
        <v>25</v>
      </c>
      <c r="J1910" t="s">
        <v>33</v>
      </c>
      <c r="K1910" t="s">
        <v>16</v>
      </c>
    </row>
    <row r="1911" spans="1:11" x14ac:dyDescent="0.25">
      <c r="A1911" t="s">
        <v>974</v>
      </c>
      <c r="B1911" t="s">
        <v>199</v>
      </c>
      <c r="C1911" t="s">
        <v>975</v>
      </c>
      <c r="D1911">
        <v>731372618</v>
      </c>
      <c r="E1911" t="s">
        <v>9</v>
      </c>
      <c r="F1911" s="1">
        <v>45759</v>
      </c>
      <c r="G1911" t="s">
        <v>418</v>
      </c>
      <c r="H1911" s="2">
        <v>1104.57</v>
      </c>
      <c r="I1911" t="s">
        <v>25</v>
      </c>
      <c r="J1911" t="s">
        <v>33</v>
      </c>
      <c r="K1911" t="s">
        <v>12</v>
      </c>
    </row>
    <row r="1912" spans="1:11" x14ac:dyDescent="0.25">
      <c r="A1912" t="s">
        <v>782</v>
      </c>
      <c r="B1912" t="s">
        <v>280</v>
      </c>
      <c r="C1912" t="s">
        <v>783</v>
      </c>
      <c r="D1912">
        <v>735063785</v>
      </c>
      <c r="E1912" t="s">
        <v>18</v>
      </c>
      <c r="F1912" s="1">
        <v>45462</v>
      </c>
      <c r="G1912" t="s">
        <v>415</v>
      </c>
      <c r="H1912" s="2">
        <v>1603.84</v>
      </c>
      <c r="I1912" t="s">
        <v>25</v>
      </c>
      <c r="J1912" t="s">
        <v>36</v>
      </c>
      <c r="K1912" t="s">
        <v>12</v>
      </c>
    </row>
    <row r="1913" spans="1:11" x14ac:dyDescent="0.25">
      <c r="A1913" t="s">
        <v>560</v>
      </c>
      <c r="B1913" t="s">
        <v>71</v>
      </c>
      <c r="C1913" t="s">
        <v>561</v>
      </c>
      <c r="D1913">
        <v>747410141</v>
      </c>
      <c r="E1913" t="s">
        <v>9</v>
      </c>
      <c r="F1913" s="1">
        <v>45645</v>
      </c>
      <c r="G1913" t="s">
        <v>418</v>
      </c>
      <c r="H1913" s="2">
        <v>1066.1199999999999</v>
      </c>
      <c r="I1913" t="s">
        <v>25</v>
      </c>
      <c r="J1913" t="s">
        <v>15</v>
      </c>
      <c r="K1913" t="s">
        <v>12</v>
      </c>
    </row>
    <row r="1914" spans="1:11" x14ac:dyDescent="0.25">
      <c r="A1914" t="s">
        <v>778</v>
      </c>
      <c r="B1914" t="s">
        <v>162</v>
      </c>
      <c r="C1914" t="s">
        <v>779</v>
      </c>
      <c r="D1914">
        <v>859523189</v>
      </c>
      <c r="E1914" t="s">
        <v>9</v>
      </c>
      <c r="F1914" s="1">
        <v>45720</v>
      </c>
      <c r="G1914" t="s">
        <v>19</v>
      </c>
      <c r="H1914" s="2">
        <v>1658.29</v>
      </c>
      <c r="I1914" t="s">
        <v>25</v>
      </c>
      <c r="J1914" t="s">
        <v>22</v>
      </c>
      <c r="K1914" t="s">
        <v>12</v>
      </c>
    </row>
    <row r="1915" spans="1:11" x14ac:dyDescent="0.25">
      <c r="A1915" t="s">
        <v>782</v>
      </c>
      <c r="B1915" t="s">
        <v>280</v>
      </c>
      <c r="C1915" t="s">
        <v>783</v>
      </c>
      <c r="D1915">
        <v>735063785</v>
      </c>
      <c r="E1915" t="s">
        <v>18</v>
      </c>
      <c r="F1915" s="1">
        <v>45852</v>
      </c>
      <c r="G1915" t="s">
        <v>415</v>
      </c>
      <c r="H1915" s="2">
        <v>532.87</v>
      </c>
      <c r="I1915" t="s">
        <v>25</v>
      </c>
      <c r="J1915" t="s">
        <v>33</v>
      </c>
      <c r="K1915" t="s">
        <v>16</v>
      </c>
    </row>
    <row r="1916" spans="1:11" x14ac:dyDescent="0.25">
      <c r="A1916" t="s">
        <v>1292</v>
      </c>
      <c r="B1916" t="s">
        <v>1293</v>
      </c>
      <c r="C1916" t="s">
        <v>1294</v>
      </c>
      <c r="D1916">
        <v>660996978</v>
      </c>
      <c r="E1916" t="s">
        <v>18</v>
      </c>
      <c r="F1916" s="1">
        <v>45496</v>
      </c>
      <c r="G1916" t="s">
        <v>14</v>
      </c>
      <c r="H1916" s="2">
        <v>1622.73</v>
      </c>
      <c r="I1916" t="s">
        <v>25</v>
      </c>
      <c r="J1916" t="s">
        <v>11</v>
      </c>
      <c r="K1916" t="s">
        <v>12</v>
      </c>
    </row>
    <row r="1917" spans="1:11" x14ac:dyDescent="0.25">
      <c r="A1917" t="s">
        <v>1553</v>
      </c>
      <c r="B1917" t="s">
        <v>323</v>
      </c>
      <c r="C1917" t="s">
        <v>1554</v>
      </c>
      <c r="D1917">
        <v>732184227</v>
      </c>
      <c r="E1917" t="s">
        <v>18</v>
      </c>
      <c r="F1917" s="1">
        <v>45899</v>
      </c>
      <c r="G1917" t="s">
        <v>24</v>
      </c>
      <c r="H1917" s="2">
        <v>1220.53</v>
      </c>
      <c r="I1917" t="s">
        <v>507</v>
      </c>
      <c r="J1917" t="s">
        <v>11</v>
      </c>
      <c r="K1917" t="s">
        <v>16</v>
      </c>
    </row>
    <row r="1918" spans="1:11" x14ac:dyDescent="0.25">
      <c r="A1918" t="s">
        <v>1162</v>
      </c>
      <c r="B1918" t="s">
        <v>381</v>
      </c>
      <c r="C1918" t="s">
        <v>1163</v>
      </c>
      <c r="D1918">
        <v>938130308</v>
      </c>
      <c r="E1918" t="s">
        <v>18</v>
      </c>
      <c r="F1918" s="1">
        <v>45582</v>
      </c>
      <c r="G1918" t="s">
        <v>423</v>
      </c>
      <c r="H1918" s="2">
        <v>986.36</v>
      </c>
      <c r="I1918" t="s">
        <v>25</v>
      </c>
      <c r="J1918" t="s">
        <v>26</v>
      </c>
      <c r="K1918" t="s">
        <v>12</v>
      </c>
    </row>
    <row r="1919" spans="1:11" x14ac:dyDescent="0.25">
      <c r="A1919" t="s">
        <v>1222</v>
      </c>
      <c r="B1919" t="s">
        <v>399</v>
      </c>
      <c r="C1919" t="s">
        <v>1223</v>
      </c>
      <c r="D1919">
        <v>639108490</v>
      </c>
      <c r="E1919" t="s">
        <v>9</v>
      </c>
      <c r="F1919" s="1">
        <v>45381</v>
      </c>
      <c r="G1919" t="s">
        <v>506</v>
      </c>
      <c r="H1919" s="2">
        <v>879.88</v>
      </c>
      <c r="I1919" t="s">
        <v>25</v>
      </c>
      <c r="J1919" t="s">
        <v>22</v>
      </c>
      <c r="K1919" t="s">
        <v>16</v>
      </c>
    </row>
    <row r="1920" spans="1:11" x14ac:dyDescent="0.25">
      <c r="A1920" t="s">
        <v>1555</v>
      </c>
      <c r="B1920" t="s">
        <v>1160</v>
      </c>
      <c r="C1920" t="s">
        <v>1556</v>
      </c>
      <c r="D1920">
        <v>744321306</v>
      </c>
      <c r="E1920" t="s">
        <v>9</v>
      </c>
      <c r="F1920" s="1">
        <v>45832</v>
      </c>
      <c r="G1920" t="s">
        <v>423</v>
      </c>
      <c r="H1920" s="2">
        <v>776.21</v>
      </c>
      <c r="I1920" t="s">
        <v>507</v>
      </c>
      <c r="J1920" t="s">
        <v>11</v>
      </c>
      <c r="K1920" t="s">
        <v>12</v>
      </c>
    </row>
    <row r="1921" spans="1:11" x14ac:dyDescent="0.25">
      <c r="A1921" t="s">
        <v>618</v>
      </c>
      <c r="B1921" t="s">
        <v>250</v>
      </c>
      <c r="C1921" t="s">
        <v>619</v>
      </c>
      <c r="D1921">
        <v>730582836</v>
      </c>
      <c r="E1921" t="s">
        <v>18</v>
      </c>
      <c r="F1921" s="1">
        <v>45408</v>
      </c>
      <c r="G1921" t="s">
        <v>451</v>
      </c>
      <c r="H1921" s="2">
        <v>1919.77</v>
      </c>
      <c r="I1921" t="s">
        <v>25</v>
      </c>
      <c r="J1921" t="s">
        <v>36</v>
      </c>
      <c r="K1921" t="s">
        <v>12</v>
      </c>
    </row>
    <row r="1922" spans="1:11" x14ac:dyDescent="0.25">
      <c r="A1922" t="s">
        <v>858</v>
      </c>
      <c r="B1922" t="s">
        <v>272</v>
      </c>
      <c r="C1922" t="s">
        <v>859</v>
      </c>
      <c r="D1922">
        <v>726664477</v>
      </c>
      <c r="E1922" t="s">
        <v>9</v>
      </c>
      <c r="F1922" s="1">
        <v>45856</v>
      </c>
      <c r="G1922" t="s">
        <v>24</v>
      </c>
      <c r="H1922" s="2">
        <v>1984.41</v>
      </c>
      <c r="I1922" t="s">
        <v>25</v>
      </c>
      <c r="J1922" t="s">
        <v>22</v>
      </c>
      <c r="K1922" t="s">
        <v>16</v>
      </c>
    </row>
    <row r="1923" spans="1:11" x14ac:dyDescent="0.25">
      <c r="A1923" t="s">
        <v>828</v>
      </c>
      <c r="B1923" t="s">
        <v>156</v>
      </c>
      <c r="C1923" t="s">
        <v>829</v>
      </c>
      <c r="D1923">
        <v>745378803</v>
      </c>
      <c r="E1923" t="s">
        <v>18</v>
      </c>
      <c r="F1923" s="1">
        <v>45432</v>
      </c>
      <c r="G1923" t="s">
        <v>10</v>
      </c>
      <c r="H1923" s="2">
        <v>1033.3399999999999</v>
      </c>
      <c r="I1923" t="s">
        <v>25</v>
      </c>
      <c r="J1923" t="s">
        <v>36</v>
      </c>
      <c r="K1923" t="s">
        <v>12</v>
      </c>
    </row>
    <row r="1924" spans="1:11" x14ac:dyDescent="0.25">
      <c r="A1924" t="s">
        <v>1201</v>
      </c>
      <c r="B1924" t="s">
        <v>280</v>
      </c>
      <c r="C1924" t="s">
        <v>1202</v>
      </c>
      <c r="D1924">
        <v>639659594</v>
      </c>
      <c r="E1924" t="s">
        <v>9</v>
      </c>
      <c r="F1924" s="1">
        <v>45589</v>
      </c>
      <c r="G1924" t="s">
        <v>478</v>
      </c>
      <c r="H1924" s="2">
        <v>1977.11</v>
      </c>
      <c r="I1924" t="s">
        <v>25</v>
      </c>
      <c r="J1924" t="s">
        <v>22</v>
      </c>
      <c r="K1924" t="s">
        <v>16</v>
      </c>
    </row>
    <row r="1925" spans="1:11" x14ac:dyDescent="0.25">
      <c r="A1925" t="s">
        <v>1074</v>
      </c>
      <c r="B1925" t="s">
        <v>84</v>
      </c>
      <c r="C1925" t="s">
        <v>1075</v>
      </c>
      <c r="D1925">
        <v>677172506</v>
      </c>
      <c r="E1925" t="s">
        <v>9</v>
      </c>
      <c r="F1925" s="1">
        <v>45241</v>
      </c>
      <c r="G1925" t="s">
        <v>14</v>
      </c>
      <c r="H1925" s="2">
        <v>1849.15</v>
      </c>
      <c r="I1925" t="s">
        <v>25</v>
      </c>
      <c r="J1925" t="s">
        <v>22</v>
      </c>
      <c r="K1925" t="s">
        <v>16</v>
      </c>
    </row>
    <row r="1926" spans="1:11" x14ac:dyDescent="0.25">
      <c r="A1926" t="s">
        <v>535</v>
      </c>
      <c r="B1926" t="s">
        <v>68</v>
      </c>
      <c r="C1926" t="s">
        <v>536</v>
      </c>
      <c r="D1926">
        <v>743293622</v>
      </c>
      <c r="E1926" t="s">
        <v>9</v>
      </c>
      <c r="F1926" s="1">
        <v>45872</v>
      </c>
      <c r="G1926" t="s">
        <v>24</v>
      </c>
      <c r="H1926" s="2">
        <v>897.39</v>
      </c>
      <c r="I1926" t="s">
        <v>25</v>
      </c>
      <c r="J1926" t="s">
        <v>33</v>
      </c>
      <c r="K1926" t="s">
        <v>12</v>
      </c>
    </row>
    <row r="1927" spans="1:11" x14ac:dyDescent="0.25">
      <c r="A1927" t="s">
        <v>1162</v>
      </c>
      <c r="B1927" t="s">
        <v>381</v>
      </c>
      <c r="C1927" t="s">
        <v>1163</v>
      </c>
      <c r="D1927">
        <v>938130308</v>
      </c>
      <c r="E1927" t="s">
        <v>18</v>
      </c>
      <c r="F1927" s="1">
        <v>45826</v>
      </c>
      <c r="G1927" t="s">
        <v>423</v>
      </c>
      <c r="H1927" s="2">
        <v>62.96</v>
      </c>
      <c r="I1927" t="s">
        <v>25</v>
      </c>
      <c r="J1927" t="s">
        <v>36</v>
      </c>
      <c r="K1927" t="s">
        <v>16</v>
      </c>
    </row>
    <row r="1928" spans="1:11" x14ac:dyDescent="0.25">
      <c r="A1928" t="s">
        <v>553</v>
      </c>
      <c r="B1928" t="s">
        <v>283</v>
      </c>
      <c r="C1928" t="s">
        <v>554</v>
      </c>
      <c r="D1928">
        <v>706050514</v>
      </c>
      <c r="E1928" t="s">
        <v>9</v>
      </c>
      <c r="F1928" s="1">
        <v>45196</v>
      </c>
      <c r="G1928" t="s">
        <v>47</v>
      </c>
      <c r="H1928" s="2">
        <v>896.64</v>
      </c>
      <c r="I1928" t="s">
        <v>25</v>
      </c>
      <c r="J1928" t="s">
        <v>22</v>
      </c>
      <c r="K1928" t="s">
        <v>16</v>
      </c>
    </row>
    <row r="1929" spans="1:11" x14ac:dyDescent="0.25">
      <c r="A1929" t="s">
        <v>1010</v>
      </c>
      <c r="B1929" t="s">
        <v>405</v>
      </c>
      <c r="C1929" t="s">
        <v>1011</v>
      </c>
      <c r="D1929">
        <v>988674084</v>
      </c>
      <c r="E1929" t="s">
        <v>9</v>
      </c>
      <c r="F1929" s="1">
        <v>45848</v>
      </c>
      <c r="G1929" t="s">
        <v>14</v>
      </c>
      <c r="H1929" s="2">
        <v>1397.25</v>
      </c>
      <c r="I1929" t="s">
        <v>25</v>
      </c>
      <c r="J1929" t="s">
        <v>22</v>
      </c>
      <c r="K1929" t="s">
        <v>12</v>
      </c>
    </row>
    <row r="1930" spans="1:11" x14ac:dyDescent="0.25">
      <c r="A1930" t="s">
        <v>1241</v>
      </c>
      <c r="B1930" t="s">
        <v>315</v>
      </c>
      <c r="C1930" t="s">
        <v>1242</v>
      </c>
      <c r="D1930">
        <v>739478837</v>
      </c>
      <c r="E1930" t="s">
        <v>18</v>
      </c>
      <c r="F1930" s="1">
        <v>45310</v>
      </c>
      <c r="G1930" t="s">
        <v>418</v>
      </c>
      <c r="H1930" s="2">
        <v>492.86</v>
      </c>
      <c r="I1930" t="s">
        <v>25</v>
      </c>
      <c r="J1930" t="s">
        <v>11</v>
      </c>
      <c r="K1930" t="s">
        <v>12</v>
      </c>
    </row>
    <row r="1931" spans="1:11" x14ac:dyDescent="0.25">
      <c r="A1931" t="s">
        <v>1048</v>
      </c>
      <c r="B1931" t="s">
        <v>133</v>
      </c>
      <c r="C1931" t="s">
        <v>1049</v>
      </c>
      <c r="D1931">
        <v>730098459</v>
      </c>
      <c r="E1931" t="s">
        <v>9</v>
      </c>
      <c r="F1931" s="1">
        <v>45441</v>
      </c>
      <c r="G1931" t="s">
        <v>47</v>
      </c>
      <c r="H1931" s="2">
        <v>377.29</v>
      </c>
      <c r="I1931" t="s">
        <v>25</v>
      </c>
      <c r="J1931" t="s">
        <v>33</v>
      </c>
      <c r="K1931" t="s">
        <v>16</v>
      </c>
    </row>
    <row r="1932" spans="1:11" x14ac:dyDescent="0.25">
      <c r="A1932" t="s">
        <v>1084</v>
      </c>
      <c r="B1932" t="s">
        <v>306</v>
      </c>
      <c r="C1932" t="s">
        <v>1085</v>
      </c>
      <c r="D1932">
        <v>722110763</v>
      </c>
      <c r="E1932" t="s">
        <v>13</v>
      </c>
      <c r="F1932" s="1">
        <v>45872</v>
      </c>
      <c r="G1932" t="s">
        <v>32</v>
      </c>
      <c r="H1932" s="2">
        <v>160.24</v>
      </c>
      <c r="I1932" t="s">
        <v>25</v>
      </c>
      <c r="J1932" t="s">
        <v>22</v>
      </c>
      <c r="K1932" t="s">
        <v>12</v>
      </c>
    </row>
    <row r="1933" spans="1:11" x14ac:dyDescent="0.25">
      <c r="A1933" t="s">
        <v>1172</v>
      </c>
      <c r="B1933" t="s">
        <v>163</v>
      </c>
      <c r="C1933" t="s">
        <v>1173</v>
      </c>
      <c r="D1933">
        <v>960053641</v>
      </c>
      <c r="E1933" t="s">
        <v>13</v>
      </c>
      <c r="F1933" s="1">
        <v>45268</v>
      </c>
      <c r="G1933" t="s">
        <v>440</v>
      </c>
      <c r="H1933" s="2">
        <v>202.87</v>
      </c>
      <c r="I1933" t="s">
        <v>25</v>
      </c>
      <c r="J1933" t="s">
        <v>22</v>
      </c>
      <c r="K1933" t="s">
        <v>16</v>
      </c>
    </row>
    <row r="1934" spans="1:11" x14ac:dyDescent="0.25">
      <c r="A1934" t="s">
        <v>1143</v>
      </c>
      <c r="B1934" t="s">
        <v>198</v>
      </c>
      <c r="C1934" t="s">
        <v>1144</v>
      </c>
      <c r="D1934">
        <v>828808869</v>
      </c>
      <c r="E1934" t="s">
        <v>9</v>
      </c>
      <c r="F1934" s="1">
        <v>45366</v>
      </c>
      <c r="G1934" t="s">
        <v>418</v>
      </c>
      <c r="H1934" s="2">
        <v>403.98</v>
      </c>
      <c r="I1934" t="s">
        <v>25</v>
      </c>
      <c r="J1934" t="s">
        <v>22</v>
      </c>
      <c r="K1934" t="s">
        <v>12</v>
      </c>
    </row>
    <row r="1935" spans="1:11" x14ac:dyDescent="0.25">
      <c r="A1935" t="s">
        <v>625</v>
      </c>
      <c r="B1935" t="s">
        <v>375</v>
      </c>
      <c r="C1935" t="s">
        <v>626</v>
      </c>
      <c r="D1935">
        <v>733325222</v>
      </c>
      <c r="E1935" t="s">
        <v>9</v>
      </c>
      <c r="F1935" s="1">
        <v>45813</v>
      </c>
      <c r="G1935" t="s">
        <v>475</v>
      </c>
      <c r="H1935" s="2">
        <v>1331.04</v>
      </c>
      <c r="I1935" t="s">
        <v>25</v>
      </c>
      <c r="J1935" t="s">
        <v>11</v>
      </c>
      <c r="K1935" t="s">
        <v>16</v>
      </c>
    </row>
    <row r="1936" spans="1:11" x14ac:dyDescent="0.25">
      <c r="A1936" t="s">
        <v>1557</v>
      </c>
      <c r="B1936" t="s">
        <v>1558</v>
      </c>
      <c r="C1936" t="s">
        <v>1559</v>
      </c>
      <c r="D1936">
        <v>747960711</v>
      </c>
      <c r="E1936" t="s">
        <v>9</v>
      </c>
      <c r="F1936" s="1">
        <v>45364</v>
      </c>
      <c r="G1936" t="s">
        <v>10</v>
      </c>
      <c r="H1936" s="2">
        <v>267.89999999999998</v>
      </c>
      <c r="I1936" t="s">
        <v>444</v>
      </c>
      <c r="J1936" t="s">
        <v>22</v>
      </c>
      <c r="K1936" t="s">
        <v>16</v>
      </c>
    </row>
    <row r="1937" spans="1:11" x14ac:dyDescent="0.25">
      <c r="A1937" t="s">
        <v>465</v>
      </c>
      <c r="B1937" t="s">
        <v>355</v>
      </c>
      <c r="C1937" t="s">
        <v>466</v>
      </c>
      <c r="D1937">
        <v>740369847</v>
      </c>
      <c r="E1937" t="s">
        <v>18</v>
      </c>
      <c r="F1937" s="1">
        <v>45552</v>
      </c>
      <c r="G1937" t="s">
        <v>451</v>
      </c>
      <c r="H1937" s="2">
        <v>218.99</v>
      </c>
      <c r="I1937" t="s">
        <v>25</v>
      </c>
      <c r="J1937" t="s">
        <v>36</v>
      </c>
      <c r="K1937" t="s">
        <v>12</v>
      </c>
    </row>
    <row r="1938" spans="1:11" x14ac:dyDescent="0.25">
      <c r="A1938" t="s">
        <v>810</v>
      </c>
      <c r="B1938" t="s">
        <v>811</v>
      </c>
      <c r="C1938" t="s">
        <v>812</v>
      </c>
      <c r="D1938">
        <v>741972258</v>
      </c>
      <c r="E1938" t="s">
        <v>9</v>
      </c>
      <c r="F1938" s="1">
        <v>45859</v>
      </c>
      <c r="G1938" t="s">
        <v>603</v>
      </c>
      <c r="H1938" s="2">
        <v>1956.51</v>
      </c>
      <c r="I1938" t="s">
        <v>25</v>
      </c>
      <c r="J1938" t="s">
        <v>11</v>
      </c>
      <c r="K1938" t="s">
        <v>12</v>
      </c>
    </row>
    <row r="1939" spans="1:11" x14ac:dyDescent="0.25">
      <c r="A1939" t="s">
        <v>516</v>
      </c>
      <c r="B1939" t="s">
        <v>395</v>
      </c>
      <c r="C1939" t="s">
        <v>517</v>
      </c>
      <c r="D1939">
        <v>725414927</v>
      </c>
      <c r="E1939" t="s">
        <v>9</v>
      </c>
      <c r="F1939" s="1">
        <v>45261</v>
      </c>
      <c r="G1939" t="s">
        <v>518</v>
      </c>
      <c r="H1939" s="2">
        <v>398.77</v>
      </c>
      <c r="I1939" t="s">
        <v>25</v>
      </c>
      <c r="J1939" t="s">
        <v>11</v>
      </c>
      <c r="K1939" t="s">
        <v>16</v>
      </c>
    </row>
    <row r="1940" spans="1:11" x14ac:dyDescent="0.25">
      <c r="A1940" t="s">
        <v>476</v>
      </c>
      <c r="B1940" t="s">
        <v>170</v>
      </c>
      <c r="C1940" t="s">
        <v>477</v>
      </c>
      <c r="D1940">
        <v>982589898</v>
      </c>
      <c r="E1940" t="s">
        <v>18</v>
      </c>
      <c r="F1940" s="1">
        <v>45429</v>
      </c>
      <c r="G1940" t="s">
        <v>478</v>
      </c>
      <c r="H1940" s="2">
        <v>1682.11</v>
      </c>
      <c r="I1940" t="s">
        <v>25</v>
      </c>
      <c r="J1940" t="s">
        <v>36</v>
      </c>
      <c r="K1940" t="s">
        <v>16</v>
      </c>
    </row>
    <row r="1941" spans="1:11" x14ac:dyDescent="0.25">
      <c r="A1941" t="s">
        <v>1074</v>
      </c>
      <c r="B1941" t="s">
        <v>84</v>
      </c>
      <c r="C1941" t="s">
        <v>1075</v>
      </c>
      <c r="D1941">
        <v>677172506</v>
      </c>
      <c r="E1941" t="s">
        <v>9</v>
      </c>
      <c r="F1941" s="1">
        <v>45847</v>
      </c>
      <c r="G1941" t="s">
        <v>14</v>
      </c>
      <c r="H1941" s="2">
        <v>1543.61</v>
      </c>
      <c r="I1941" t="s">
        <v>444</v>
      </c>
      <c r="J1941" t="s">
        <v>22</v>
      </c>
      <c r="K1941" t="s">
        <v>16</v>
      </c>
    </row>
    <row r="1942" spans="1:11" x14ac:dyDescent="0.25">
      <c r="A1942" t="s">
        <v>1115</v>
      </c>
      <c r="B1942" t="s">
        <v>140</v>
      </c>
      <c r="C1942" t="s">
        <v>1116</v>
      </c>
      <c r="D1942">
        <v>827325070</v>
      </c>
      <c r="E1942" t="s">
        <v>9</v>
      </c>
      <c r="F1942" s="1">
        <v>45405</v>
      </c>
      <c r="G1942" t="s">
        <v>10</v>
      </c>
      <c r="H1942" s="2">
        <v>1614.71</v>
      </c>
      <c r="I1942" t="s">
        <v>25</v>
      </c>
      <c r="J1942" t="s">
        <v>33</v>
      </c>
      <c r="K1942" t="s">
        <v>16</v>
      </c>
    </row>
    <row r="1943" spans="1:11" x14ac:dyDescent="0.25">
      <c r="A1943" t="s">
        <v>1243</v>
      </c>
      <c r="B1943" t="s">
        <v>124</v>
      </c>
      <c r="C1943" t="s">
        <v>1244</v>
      </c>
      <c r="D1943">
        <v>704920235</v>
      </c>
      <c r="E1943" t="s">
        <v>18</v>
      </c>
      <c r="F1943" s="1">
        <v>45202</v>
      </c>
      <c r="G1943" t="s">
        <v>440</v>
      </c>
      <c r="H1943" s="2">
        <v>393.38</v>
      </c>
      <c r="I1943" t="s">
        <v>25</v>
      </c>
      <c r="J1943" t="s">
        <v>11</v>
      </c>
      <c r="K1943" t="s">
        <v>16</v>
      </c>
    </row>
    <row r="1944" spans="1:11" x14ac:dyDescent="0.25">
      <c r="A1944" t="s">
        <v>870</v>
      </c>
      <c r="B1944" t="s">
        <v>89</v>
      </c>
      <c r="C1944" t="s">
        <v>871</v>
      </c>
      <c r="D1944">
        <v>728307481</v>
      </c>
      <c r="E1944" t="s">
        <v>9</v>
      </c>
      <c r="F1944" s="1">
        <v>45538</v>
      </c>
      <c r="G1944" t="s">
        <v>14</v>
      </c>
      <c r="H1944" s="2">
        <v>1437.05</v>
      </c>
      <c r="I1944" t="s">
        <v>25</v>
      </c>
      <c r="J1944" t="s">
        <v>33</v>
      </c>
      <c r="K1944" t="s">
        <v>12</v>
      </c>
    </row>
    <row r="1945" spans="1:11" x14ac:dyDescent="0.25">
      <c r="A1945" t="s">
        <v>794</v>
      </c>
      <c r="B1945" t="s">
        <v>371</v>
      </c>
      <c r="C1945" t="s">
        <v>795</v>
      </c>
      <c r="D1945">
        <v>632927895</v>
      </c>
      <c r="E1945" t="s">
        <v>9</v>
      </c>
      <c r="F1945" s="1">
        <v>45495</v>
      </c>
      <c r="G1945" t="s">
        <v>39</v>
      </c>
      <c r="H1945" s="2">
        <v>867.73</v>
      </c>
      <c r="I1945" t="s">
        <v>25</v>
      </c>
      <c r="J1945" t="s">
        <v>33</v>
      </c>
      <c r="K1945" t="s">
        <v>16</v>
      </c>
    </row>
    <row r="1946" spans="1:11" x14ac:dyDescent="0.25">
      <c r="A1946" t="s">
        <v>1560</v>
      </c>
      <c r="B1946" t="s">
        <v>249</v>
      </c>
      <c r="C1946" t="s">
        <v>1561</v>
      </c>
      <c r="D1946">
        <v>715400389</v>
      </c>
      <c r="E1946" t="s">
        <v>9</v>
      </c>
      <c r="F1946" s="1">
        <v>45232</v>
      </c>
      <c r="G1946" t="s">
        <v>10</v>
      </c>
      <c r="H1946" s="2">
        <v>1539.06</v>
      </c>
      <c r="I1946" t="s">
        <v>507</v>
      </c>
      <c r="J1946" t="s">
        <v>26</v>
      </c>
      <c r="K1946" t="s">
        <v>12</v>
      </c>
    </row>
    <row r="1947" spans="1:11" x14ac:dyDescent="0.25">
      <c r="A1947" t="s">
        <v>584</v>
      </c>
      <c r="B1947" t="s">
        <v>68</v>
      </c>
      <c r="C1947" t="s">
        <v>585</v>
      </c>
      <c r="D1947">
        <v>699605788</v>
      </c>
      <c r="E1947" t="s">
        <v>18</v>
      </c>
      <c r="F1947" s="1">
        <v>45846</v>
      </c>
      <c r="G1947" t="s">
        <v>440</v>
      </c>
      <c r="H1947" s="2">
        <v>1435.69</v>
      </c>
      <c r="I1947" t="s">
        <v>25</v>
      </c>
      <c r="J1947" t="s">
        <v>26</v>
      </c>
      <c r="K1947" t="s">
        <v>16</v>
      </c>
    </row>
    <row r="1948" spans="1:11" x14ac:dyDescent="0.25">
      <c r="A1948" t="s">
        <v>924</v>
      </c>
      <c r="B1948" t="s">
        <v>346</v>
      </c>
      <c r="C1948" t="s">
        <v>925</v>
      </c>
      <c r="D1948">
        <v>718475072</v>
      </c>
      <c r="E1948" t="s">
        <v>18</v>
      </c>
      <c r="F1948" s="1">
        <v>45509</v>
      </c>
      <c r="G1948" t="s">
        <v>451</v>
      </c>
      <c r="H1948" s="2">
        <v>1430.58</v>
      </c>
      <c r="I1948" t="s">
        <v>507</v>
      </c>
      <c r="J1948" t="s">
        <v>26</v>
      </c>
      <c r="K1948" t="s">
        <v>16</v>
      </c>
    </row>
    <row r="1949" spans="1:11" x14ac:dyDescent="0.25">
      <c r="A1949" t="s">
        <v>1276</v>
      </c>
      <c r="B1949" t="s">
        <v>42</v>
      </c>
      <c r="C1949" t="s">
        <v>1277</v>
      </c>
      <c r="D1949">
        <v>746518380</v>
      </c>
      <c r="E1949" t="s">
        <v>18</v>
      </c>
      <c r="F1949" s="1">
        <v>45821</v>
      </c>
      <c r="G1949" t="s">
        <v>29</v>
      </c>
      <c r="H1949" s="2">
        <v>1915.91</v>
      </c>
      <c r="I1949" t="s">
        <v>444</v>
      </c>
      <c r="J1949" t="s">
        <v>11</v>
      </c>
      <c r="K1949" t="s">
        <v>12</v>
      </c>
    </row>
    <row r="1950" spans="1:11" x14ac:dyDescent="0.25">
      <c r="A1950" t="s">
        <v>693</v>
      </c>
      <c r="B1950" t="s">
        <v>239</v>
      </c>
      <c r="C1950" t="s">
        <v>694</v>
      </c>
      <c r="D1950">
        <v>941385528</v>
      </c>
      <c r="E1950" t="s">
        <v>13</v>
      </c>
      <c r="F1950" s="1">
        <v>45370</v>
      </c>
      <c r="G1950" t="s">
        <v>19</v>
      </c>
      <c r="H1950" s="2">
        <v>1044.3599999999999</v>
      </c>
      <c r="I1950" t="s">
        <v>444</v>
      </c>
      <c r="J1950" t="s">
        <v>33</v>
      </c>
      <c r="K1950" t="s">
        <v>12</v>
      </c>
    </row>
    <row r="1951" spans="1:11" x14ac:dyDescent="0.25">
      <c r="A1951" t="s">
        <v>701</v>
      </c>
      <c r="B1951" t="s">
        <v>340</v>
      </c>
      <c r="C1951" t="s">
        <v>702</v>
      </c>
      <c r="D1951">
        <v>633388134</v>
      </c>
      <c r="E1951" t="s">
        <v>9</v>
      </c>
      <c r="F1951" s="1">
        <v>45189</v>
      </c>
      <c r="G1951" t="s">
        <v>518</v>
      </c>
      <c r="H1951" s="2">
        <v>1796.06</v>
      </c>
      <c r="I1951" t="s">
        <v>25</v>
      </c>
      <c r="J1951" t="s">
        <v>22</v>
      </c>
      <c r="K1951" t="s">
        <v>16</v>
      </c>
    </row>
    <row r="1952" spans="1:11" x14ac:dyDescent="0.25">
      <c r="A1952" t="s">
        <v>1511</v>
      </c>
      <c r="B1952" t="s">
        <v>41</v>
      </c>
      <c r="C1952" t="s">
        <v>1512</v>
      </c>
      <c r="D1952">
        <v>727299226</v>
      </c>
      <c r="E1952" t="s">
        <v>9</v>
      </c>
      <c r="F1952" s="1">
        <v>45896</v>
      </c>
      <c r="G1952" t="s">
        <v>24</v>
      </c>
      <c r="H1952" s="2">
        <v>1054.1099999999999</v>
      </c>
      <c r="I1952" t="s">
        <v>25</v>
      </c>
      <c r="J1952" t="s">
        <v>22</v>
      </c>
      <c r="K1952" t="s">
        <v>16</v>
      </c>
    </row>
    <row r="1953" spans="1:11" x14ac:dyDescent="0.25">
      <c r="A1953" t="s">
        <v>651</v>
      </c>
      <c r="B1953" t="s">
        <v>134</v>
      </c>
      <c r="C1953" t="s">
        <v>652</v>
      </c>
      <c r="D1953">
        <v>721752316</v>
      </c>
      <c r="E1953" t="s">
        <v>18</v>
      </c>
      <c r="F1953" s="1">
        <v>45679</v>
      </c>
      <c r="G1953" t="s">
        <v>19</v>
      </c>
      <c r="H1953" s="2">
        <v>773.84</v>
      </c>
      <c r="I1953" t="s">
        <v>25</v>
      </c>
      <c r="J1953" t="s">
        <v>33</v>
      </c>
      <c r="K1953" t="s">
        <v>16</v>
      </c>
    </row>
    <row r="1954" spans="1:11" x14ac:dyDescent="0.25">
      <c r="A1954" t="s">
        <v>637</v>
      </c>
      <c r="B1954" t="s">
        <v>176</v>
      </c>
      <c r="C1954" t="s">
        <v>638</v>
      </c>
      <c r="D1954">
        <v>721361791</v>
      </c>
      <c r="E1954" t="s">
        <v>9</v>
      </c>
      <c r="F1954" s="1">
        <v>45859</v>
      </c>
      <c r="G1954" t="s">
        <v>440</v>
      </c>
      <c r="H1954" s="2">
        <v>1635.43</v>
      </c>
      <c r="I1954" t="s">
        <v>25</v>
      </c>
      <c r="J1954" t="s">
        <v>22</v>
      </c>
      <c r="K1954" t="s">
        <v>12</v>
      </c>
    </row>
    <row r="1955" spans="1:11" x14ac:dyDescent="0.25">
      <c r="A1955" t="s">
        <v>1545</v>
      </c>
      <c r="B1955" t="s">
        <v>76</v>
      </c>
      <c r="C1955" t="s">
        <v>1546</v>
      </c>
      <c r="D1955">
        <v>611250688</v>
      </c>
      <c r="E1955" t="s">
        <v>9</v>
      </c>
      <c r="F1955" s="1">
        <v>45489</v>
      </c>
      <c r="G1955" t="s">
        <v>14</v>
      </c>
      <c r="H1955" s="2">
        <v>628.16</v>
      </c>
      <c r="I1955" t="s">
        <v>25</v>
      </c>
      <c r="J1955" t="s">
        <v>33</v>
      </c>
      <c r="K1955" t="s">
        <v>16</v>
      </c>
    </row>
    <row r="1956" spans="1:11" x14ac:dyDescent="0.25">
      <c r="A1956" t="s">
        <v>566</v>
      </c>
      <c r="B1956" t="s">
        <v>321</v>
      </c>
      <c r="C1956" t="s">
        <v>567</v>
      </c>
      <c r="D1956">
        <v>701055024</v>
      </c>
      <c r="E1956" t="s">
        <v>9</v>
      </c>
      <c r="F1956" s="1">
        <v>45882</v>
      </c>
      <c r="G1956" t="s">
        <v>518</v>
      </c>
      <c r="H1956" s="2">
        <v>1428.98</v>
      </c>
      <c r="I1956" t="s">
        <v>25</v>
      </c>
      <c r="J1956" t="s">
        <v>11</v>
      </c>
      <c r="K1956" t="s">
        <v>12</v>
      </c>
    </row>
    <row r="1957" spans="1:11" x14ac:dyDescent="0.25">
      <c r="A1957" t="s">
        <v>1192</v>
      </c>
      <c r="B1957" t="s">
        <v>372</v>
      </c>
      <c r="C1957" t="s">
        <v>1193</v>
      </c>
      <c r="D1957">
        <v>722844692</v>
      </c>
      <c r="E1957" t="s">
        <v>18</v>
      </c>
      <c r="F1957" s="1">
        <v>45393</v>
      </c>
      <c r="G1957" t="s">
        <v>478</v>
      </c>
      <c r="H1957" s="2">
        <v>1966.89</v>
      </c>
      <c r="I1957" t="s">
        <v>25</v>
      </c>
      <c r="J1957" t="s">
        <v>36</v>
      </c>
      <c r="K1957" t="s">
        <v>16</v>
      </c>
    </row>
    <row r="1958" spans="1:11" x14ac:dyDescent="0.25">
      <c r="A1958" t="s">
        <v>1424</v>
      </c>
      <c r="B1958" t="s">
        <v>61</v>
      </c>
      <c r="C1958" t="s">
        <v>1425</v>
      </c>
      <c r="D1958">
        <v>629889888</v>
      </c>
      <c r="E1958" t="s">
        <v>9</v>
      </c>
      <c r="F1958" s="1">
        <v>45292</v>
      </c>
      <c r="G1958" t="s">
        <v>10</v>
      </c>
      <c r="H1958" s="2">
        <v>262.33</v>
      </c>
      <c r="I1958" t="s">
        <v>25</v>
      </c>
      <c r="J1958" t="s">
        <v>22</v>
      </c>
      <c r="K1958" t="s">
        <v>16</v>
      </c>
    </row>
    <row r="1959" spans="1:11" x14ac:dyDescent="0.25">
      <c r="A1959" t="s">
        <v>1515</v>
      </c>
      <c r="B1959" t="s">
        <v>323</v>
      </c>
      <c r="C1959" t="s">
        <v>1516</v>
      </c>
      <c r="D1959">
        <v>738718693</v>
      </c>
      <c r="E1959" t="s">
        <v>18</v>
      </c>
      <c r="F1959" s="1">
        <v>45686</v>
      </c>
      <c r="G1959" t="s">
        <v>423</v>
      </c>
      <c r="H1959" s="2">
        <v>1326.17</v>
      </c>
      <c r="I1959" t="s">
        <v>25</v>
      </c>
      <c r="J1959" t="s">
        <v>26</v>
      </c>
      <c r="K1959" t="s">
        <v>16</v>
      </c>
    </row>
    <row r="1960" spans="1:11" x14ac:dyDescent="0.25">
      <c r="A1960" t="s">
        <v>436</v>
      </c>
      <c r="B1960" t="s">
        <v>115</v>
      </c>
      <c r="C1960" t="s">
        <v>437</v>
      </c>
      <c r="D1960">
        <v>806023701</v>
      </c>
      <c r="E1960" t="s">
        <v>9</v>
      </c>
      <c r="F1960" s="1">
        <v>45251</v>
      </c>
      <c r="G1960" t="s">
        <v>10</v>
      </c>
      <c r="H1960" s="2">
        <v>1599.82</v>
      </c>
      <c r="I1960" t="s">
        <v>25</v>
      </c>
      <c r="J1960" t="s">
        <v>36</v>
      </c>
      <c r="K1960" t="s">
        <v>12</v>
      </c>
    </row>
    <row r="1961" spans="1:11" x14ac:dyDescent="0.25">
      <c r="A1961" t="s">
        <v>490</v>
      </c>
      <c r="B1961" t="s">
        <v>394</v>
      </c>
      <c r="C1961" t="s">
        <v>491</v>
      </c>
      <c r="D1961">
        <v>806812397</v>
      </c>
      <c r="E1961" t="s">
        <v>18</v>
      </c>
      <c r="F1961" s="1">
        <v>45233</v>
      </c>
      <c r="G1961" t="s">
        <v>415</v>
      </c>
      <c r="H1961" s="2">
        <v>1302.81</v>
      </c>
      <c r="I1961" t="s">
        <v>25</v>
      </c>
      <c r="J1961" t="s">
        <v>36</v>
      </c>
      <c r="K1961" t="s">
        <v>16</v>
      </c>
    </row>
    <row r="1962" spans="1:11" x14ac:dyDescent="0.25">
      <c r="A1962" t="s">
        <v>599</v>
      </c>
      <c r="B1962" t="s">
        <v>329</v>
      </c>
      <c r="C1962" t="s">
        <v>600</v>
      </c>
      <c r="D1962">
        <v>730479253</v>
      </c>
      <c r="E1962" t="s">
        <v>18</v>
      </c>
      <c r="F1962" s="1">
        <v>45312</v>
      </c>
      <c r="G1962" t="s">
        <v>443</v>
      </c>
      <c r="H1962" s="2">
        <v>1659.66</v>
      </c>
      <c r="I1962" t="s">
        <v>25</v>
      </c>
      <c r="J1962" t="s">
        <v>11</v>
      </c>
      <c r="K1962" t="s">
        <v>12</v>
      </c>
    </row>
    <row r="1963" spans="1:11" x14ac:dyDescent="0.25">
      <c r="A1963" t="s">
        <v>1265</v>
      </c>
      <c r="B1963" t="s">
        <v>86</v>
      </c>
      <c r="C1963" t="s">
        <v>1266</v>
      </c>
      <c r="D1963">
        <v>721786256</v>
      </c>
      <c r="E1963" t="s">
        <v>9</v>
      </c>
      <c r="F1963" s="1">
        <v>45413</v>
      </c>
      <c r="G1963" t="s">
        <v>423</v>
      </c>
      <c r="H1963" s="2">
        <v>1441.41</v>
      </c>
      <c r="I1963" t="s">
        <v>25</v>
      </c>
      <c r="J1963" t="s">
        <v>22</v>
      </c>
      <c r="K1963" t="s">
        <v>12</v>
      </c>
    </row>
    <row r="1964" spans="1:11" x14ac:dyDescent="0.25">
      <c r="A1964" t="s">
        <v>1547</v>
      </c>
      <c r="B1964" t="s">
        <v>371</v>
      </c>
      <c r="C1964" t="s">
        <v>1548</v>
      </c>
      <c r="D1964">
        <v>707005641</v>
      </c>
      <c r="E1964" t="s">
        <v>9</v>
      </c>
      <c r="F1964" s="1">
        <v>45490</v>
      </c>
      <c r="G1964" t="s">
        <v>475</v>
      </c>
      <c r="H1964" s="2">
        <v>1742.99</v>
      </c>
      <c r="I1964" t="s">
        <v>25</v>
      </c>
      <c r="J1964" t="s">
        <v>33</v>
      </c>
      <c r="K1964" t="s">
        <v>12</v>
      </c>
    </row>
    <row r="1965" spans="1:11" x14ac:dyDescent="0.25">
      <c r="A1965" t="s">
        <v>1562</v>
      </c>
      <c r="B1965" t="s">
        <v>337</v>
      </c>
      <c r="C1965" t="s">
        <v>1563</v>
      </c>
      <c r="D1965">
        <v>640722719</v>
      </c>
      <c r="E1965" t="s">
        <v>9</v>
      </c>
      <c r="F1965" s="1">
        <v>45460</v>
      </c>
      <c r="G1965" t="s">
        <v>415</v>
      </c>
      <c r="H1965" s="2">
        <v>498.58</v>
      </c>
      <c r="I1965" t="s">
        <v>25</v>
      </c>
      <c r="J1965" t="s">
        <v>26</v>
      </c>
      <c r="K1965" t="s">
        <v>12</v>
      </c>
    </row>
    <row r="1966" spans="1:11" x14ac:dyDescent="0.25">
      <c r="A1966" t="s">
        <v>739</v>
      </c>
      <c r="B1966" t="s">
        <v>147</v>
      </c>
      <c r="C1966" t="s">
        <v>740</v>
      </c>
      <c r="D1966">
        <v>732688394</v>
      </c>
      <c r="E1966" t="s">
        <v>9</v>
      </c>
      <c r="F1966" s="1">
        <v>45478</v>
      </c>
      <c r="G1966" t="s">
        <v>10</v>
      </c>
      <c r="H1966" s="2">
        <v>1321.19</v>
      </c>
      <c r="I1966" t="s">
        <v>25</v>
      </c>
      <c r="J1966" t="s">
        <v>22</v>
      </c>
      <c r="K1966" t="s">
        <v>16</v>
      </c>
    </row>
    <row r="1967" spans="1:11" x14ac:dyDescent="0.25">
      <c r="A1967" t="s">
        <v>1084</v>
      </c>
      <c r="B1967" t="s">
        <v>306</v>
      </c>
      <c r="C1967" t="s">
        <v>1085</v>
      </c>
      <c r="D1967">
        <v>722110763</v>
      </c>
      <c r="E1967" t="s">
        <v>13</v>
      </c>
      <c r="F1967" s="1">
        <v>45908</v>
      </c>
      <c r="G1967" t="s">
        <v>32</v>
      </c>
      <c r="H1967" s="2">
        <v>132.41</v>
      </c>
      <c r="I1967" t="s">
        <v>25</v>
      </c>
      <c r="J1967" t="s">
        <v>33</v>
      </c>
      <c r="K1967" t="s">
        <v>12</v>
      </c>
    </row>
    <row r="1968" spans="1:11" x14ac:dyDescent="0.25">
      <c r="A1968" t="s">
        <v>1267</v>
      </c>
      <c r="B1968" t="s">
        <v>1268</v>
      </c>
      <c r="C1968" t="s">
        <v>1269</v>
      </c>
      <c r="D1968">
        <v>707329571</v>
      </c>
      <c r="E1968" t="s">
        <v>18</v>
      </c>
      <c r="F1968" s="1">
        <v>45608</v>
      </c>
      <c r="G1968" t="s">
        <v>475</v>
      </c>
      <c r="H1968" s="2">
        <v>333.68</v>
      </c>
      <c r="I1968" t="s">
        <v>25</v>
      </c>
      <c r="J1968" t="s">
        <v>36</v>
      </c>
      <c r="K1968" t="s">
        <v>16</v>
      </c>
    </row>
    <row r="1969" spans="1:11" x14ac:dyDescent="0.25">
      <c r="A1969" t="s">
        <v>1564</v>
      </c>
      <c r="B1969" t="s">
        <v>63</v>
      </c>
      <c r="C1969" t="s">
        <v>1565</v>
      </c>
      <c r="D1969">
        <v>830303279</v>
      </c>
      <c r="E1969" t="s">
        <v>9</v>
      </c>
      <c r="F1969" s="1">
        <v>45611</v>
      </c>
      <c r="G1969" t="s">
        <v>418</v>
      </c>
      <c r="H1969" s="2">
        <v>1261.24</v>
      </c>
      <c r="I1969" t="s">
        <v>25</v>
      </c>
      <c r="J1969" t="s">
        <v>33</v>
      </c>
      <c r="K1969" t="s">
        <v>12</v>
      </c>
    </row>
    <row r="1970" spans="1:11" x14ac:dyDescent="0.25">
      <c r="A1970" t="s">
        <v>839</v>
      </c>
      <c r="B1970" t="s">
        <v>236</v>
      </c>
      <c r="C1970" t="s">
        <v>840</v>
      </c>
      <c r="D1970">
        <v>710165186</v>
      </c>
      <c r="E1970" t="s">
        <v>9</v>
      </c>
      <c r="F1970" s="1">
        <v>45785</v>
      </c>
      <c r="G1970" t="s">
        <v>32</v>
      </c>
      <c r="H1970" s="2">
        <v>1926.61</v>
      </c>
      <c r="I1970" t="s">
        <v>25</v>
      </c>
      <c r="J1970" t="s">
        <v>33</v>
      </c>
      <c r="K1970" t="s">
        <v>16</v>
      </c>
    </row>
    <row r="1971" spans="1:11" x14ac:dyDescent="0.25">
      <c r="A1971" t="s">
        <v>1305</v>
      </c>
      <c r="B1971" t="s">
        <v>294</v>
      </c>
      <c r="C1971" t="s">
        <v>1306</v>
      </c>
      <c r="D1971">
        <v>682290273</v>
      </c>
      <c r="E1971" t="s">
        <v>18</v>
      </c>
      <c r="F1971" s="1">
        <v>45867</v>
      </c>
      <c r="G1971" t="s">
        <v>10</v>
      </c>
      <c r="H1971" s="2">
        <v>1940.5</v>
      </c>
      <c r="I1971" t="s">
        <v>25</v>
      </c>
      <c r="J1971" t="s">
        <v>33</v>
      </c>
      <c r="K1971" t="s">
        <v>12</v>
      </c>
    </row>
    <row r="1972" spans="1:11" x14ac:dyDescent="0.25">
      <c r="A1972" t="s">
        <v>547</v>
      </c>
      <c r="B1972" t="s">
        <v>96</v>
      </c>
      <c r="C1972" t="s">
        <v>548</v>
      </c>
      <c r="D1972">
        <v>748347564</v>
      </c>
      <c r="E1972" t="s">
        <v>18</v>
      </c>
      <c r="F1972" s="1">
        <v>45825</v>
      </c>
      <c r="G1972" t="s">
        <v>423</v>
      </c>
      <c r="H1972" s="2">
        <v>265.23</v>
      </c>
      <c r="I1972" t="s">
        <v>25</v>
      </c>
      <c r="J1972" t="s">
        <v>26</v>
      </c>
      <c r="K1972" t="s">
        <v>16</v>
      </c>
    </row>
    <row r="1973" spans="1:11" x14ac:dyDescent="0.25">
      <c r="A1973" t="s">
        <v>784</v>
      </c>
      <c r="B1973" t="s">
        <v>240</v>
      </c>
      <c r="C1973" t="s">
        <v>785</v>
      </c>
      <c r="D1973">
        <v>803123797</v>
      </c>
      <c r="E1973" t="s">
        <v>9</v>
      </c>
      <c r="F1973" s="1">
        <v>45504</v>
      </c>
      <c r="G1973" t="s">
        <v>518</v>
      </c>
      <c r="H1973" s="2">
        <v>302.27999999999997</v>
      </c>
      <c r="I1973" t="s">
        <v>25</v>
      </c>
      <c r="J1973" t="s">
        <v>22</v>
      </c>
      <c r="K1973" t="s">
        <v>12</v>
      </c>
    </row>
    <row r="1974" spans="1:11" x14ac:dyDescent="0.25">
      <c r="A1974" t="s">
        <v>843</v>
      </c>
      <c r="B1974" t="s">
        <v>172</v>
      </c>
      <c r="C1974" t="s">
        <v>844</v>
      </c>
      <c r="D1974">
        <v>738447830</v>
      </c>
      <c r="E1974" t="s">
        <v>18</v>
      </c>
      <c r="F1974" s="1">
        <v>45657</v>
      </c>
      <c r="G1974" t="s">
        <v>19</v>
      </c>
      <c r="H1974" s="2">
        <v>262.77999999999997</v>
      </c>
      <c r="I1974" t="s">
        <v>25</v>
      </c>
      <c r="J1974" t="s">
        <v>11</v>
      </c>
      <c r="K1974" t="s">
        <v>12</v>
      </c>
    </row>
    <row r="1975" spans="1:11" x14ac:dyDescent="0.25">
      <c r="A1975" t="s">
        <v>1323</v>
      </c>
      <c r="B1975" t="s">
        <v>587</v>
      </c>
      <c r="C1975" t="s">
        <v>1324</v>
      </c>
      <c r="D1975">
        <v>701538350</v>
      </c>
      <c r="E1975" t="s">
        <v>9</v>
      </c>
      <c r="F1975" s="1">
        <v>45259</v>
      </c>
      <c r="G1975" t="s">
        <v>412</v>
      </c>
      <c r="H1975" s="2">
        <v>736.31</v>
      </c>
      <c r="I1975" t="s">
        <v>25</v>
      </c>
      <c r="J1975" t="s">
        <v>22</v>
      </c>
      <c r="K1975" t="s">
        <v>12</v>
      </c>
    </row>
    <row r="1976" spans="1:11" x14ac:dyDescent="0.25">
      <c r="A1976" t="s">
        <v>1267</v>
      </c>
      <c r="B1976" t="s">
        <v>1268</v>
      </c>
      <c r="C1976" t="s">
        <v>1269</v>
      </c>
      <c r="D1976">
        <v>707329571</v>
      </c>
      <c r="E1976" t="s">
        <v>18</v>
      </c>
      <c r="F1976" s="1">
        <v>45267</v>
      </c>
      <c r="G1976" t="s">
        <v>475</v>
      </c>
      <c r="H1976" s="2">
        <v>1366.8</v>
      </c>
      <c r="I1976" t="s">
        <v>25</v>
      </c>
      <c r="J1976" t="s">
        <v>11</v>
      </c>
      <c r="K1976" t="s">
        <v>16</v>
      </c>
    </row>
    <row r="1977" spans="1:11" x14ac:dyDescent="0.25">
      <c r="A1977" t="s">
        <v>953</v>
      </c>
      <c r="B1977" t="s">
        <v>954</v>
      </c>
      <c r="C1977" t="s">
        <v>955</v>
      </c>
      <c r="D1977">
        <v>745024306</v>
      </c>
      <c r="E1977" t="s">
        <v>9</v>
      </c>
      <c r="F1977" s="1">
        <v>45588</v>
      </c>
      <c r="G1977" t="s">
        <v>29</v>
      </c>
      <c r="H1977" s="2">
        <v>1345.32</v>
      </c>
      <c r="I1977" t="s">
        <v>25</v>
      </c>
      <c r="J1977" t="s">
        <v>11</v>
      </c>
      <c r="K1977" t="s">
        <v>16</v>
      </c>
    </row>
    <row r="1978" spans="1:11" x14ac:dyDescent="0.25">
      <c r="A1978" t="s">
        <v>525</v>
      </c>
      <c r="B1978" t="s">
        <v>202</v>
      </c>
      <c r="C1978" t="s">
        <v>526</v>
      </c>
      <c r="D1978">
        <v>715742102</v>
      </c>
      <c r="E1978" t="s">
        <v>9</v>
      </c>
      <c r="F1978" s="1">
        <v>45760</v>
      </c>
      <c r="G1978" t="s">
        <v>10</v>
      </c>
      <c r="H1978" s="2">
        <v>1933.02</v>
      </c>
      <c r="I1978" t="s">
        <v>507</v>
      </c>
      <c r="J1978" t="s">
        <v>11</v>
      </c>
      <c r="K1978" t="s">
        <v>16</v>
      </c>
    </row>
    <row r="1979" spans="1:11" x14ac:dyDescent="0.25">
      <c r="A1979" t="s">
        <v>1247</v>
      </c>
      <c r="B1979" t="s">
        <v>654</v>
      </c>
      <c r="C1979" t="s">
        <v>1248</v>
      </c>
      <c r="D1979">
        <v>738123474</v>
      </c>
      <c r="E1979" t="s">
        <v>9</v>
      </c>
      <c r="F1979" s="1">
        <v>45209</v>
      </c>
      <c r="G1979" t="s">
        <v>624</v>
      </c>
      <c r="H1979" s="2">
        <v>732.92</v>
      </c>
      <c r="I1979" t="s">
        <v>25</v>
      </c>
      <c r="J1979" t="s">
        <v>22</v>
      </c>
      <c r="K1979" t="s">
        <v>12</v>
      </c>
    </row>
    <row r="1980" spans="1:11" x14ac:dyDescent="0.25">
      <c r="A1980" t="s">
        <v>845</v>
      </c>
      <c r="B1980" t="s">
        <v>174</v>
      </c>
      <c r="C1980" t="s">
        <v>846</v>
      </c>
      <c r="D1980">
        <v>739067408</v>
      </c>
      <c r="E1980" t="s">
        <v>9</v>
      </c>
      <c r="F1980" s="1">
        <v>45844</v>
      </c>
      <c r="G1980" t="s">
        <v>460</v>
      </c>
      <c r="H1980" s="2">
        <v>360.06</v>
      </c>
      <c r="I1980" t="s">
        <v>444</v>
      </c>
      <c r="J1980" t="s">
        <v>22</v>
      </c>
      <c r="K1980" t="s">
        <v>16</v>
      </c>
    </row>
    <row r="1981" spans="1:11" x14ac:dyDescent="0.25">
      <c r="A1981" t="s">
        <v>1367</v>
      </c>
      <c r="B1981" t="s">
        <v>394</v>
      </c>
      <c r="C1981" t="s">
        <v>1368</v>
      </c>
      <c r="D1981">
        <v>731576543</v>
      </c>
      <c r="E1981" t="s">
        <v>9</v>
      </c>
      <c r="F1981" s="1">
        <v>45703</v>
      </c>
      <c r="G1981" t="s">
        <v>32</v>
      </c>
      <c r="H1981" s="2">
        <v>1191.17</v>
      </c>
      <c r="I1981" t="s">
        <v>25</v>
      </c>
      <c r="J1981" t="s">
        <v>33</v>
      </c>
      <c r="K1981" t="s">
        <v>12</v>
      </c>
    </row>
    <row r="1982" spans="1:11" x14ac:dyDescent="0.25">
      <c r="A1982" t="s">
        <v>1018</v>
      </c>
      <c r="B1982" t="s">
        <v>59</v>
      </c>
      <c r="C1982" t="s">
        <v>1019</v>
      </c>
      <c r="D1982">
        <v>635448926</v>
      </c>
      <c r="E1982" t="s">
        <v>18</v>
      </c>
      <c r="F1982" s="1">
        <v>45814</v>
      </c>
      <c r="G1982" t="s">
        <v>506</v>
      </c>
      <c r="H1982" s="2">
        <v>1093.58</v>
      </c>
      <c r="I1982" t="s">
        <v>25</v>
      </c>
      <c r="J1982" t="s">
        <v>33</v>
      </c>
      <c r="K1982" t="s">
        <v>12</v>
      </c>
    </row>
    <row r="1983" spans="1:11" x14ac:dyDescent="0.25">
      <c r="A1983" t="s">
        <v>1164</v>
      </c>
      <c r="B1983" t="s">
        <v>406</v>
      </c>
      <c r="C1983" t="s">
        <v>1165</v>
      </c>
      <c r="D1983">
        <v>742320022</v>
      </c>
      <c r="E1983" t="s">
        <v>9</v>
      </c>
      <c r="F1983" s="1">
        <v>45315</v>
      </c>
      <c r="G1983" t="s">
        <v>19</v>
      </c>
      <c r="H1983" s="2">
        <v>1476.57</v>
      </c>
      <c r="I1983" t="s">
        <v>25</v>
      </c>
      <c r="J1983" t="s">
        <v>11</v>
      </c>
      <c r="K1983" t="s">
        <v>12</v>
      </c>
    </row>
    <row r="1984" spans="1:11" x14ac:dyDescent="0.25">
      <c r="A1984" t="s">
        <v>631</v>
      </c>
      <c r="B1984" t="s">
        <v>54</v>
      </c>
      <c r="C1984" t="s">
        <v>632</v>
      </c>
      <c r="D1984">
        <v>717372411</v>
      </c>
      <c r="E1984" t="s">
        <v>9</v>
      </c>
      <c r="F1984" s="1">
        <v>45634</v>
      </c>
      <c r="G1984" t="s">
        <v>14</v>
      </c>
      <c r="H1984" s="2">
        <v>1458.21</v>
      </c>
      <c r="I1984" t="s">
        <v>25</v>
      </c>
      <c r="J1984" t="s">
        <v>33</v>
      </c>
      <c r="K1984" t="s">
        <v>16</v>
      </c>
    </row>
    <row r="1985" spans="1:11" x14ac:dyDescent="0.25">
      <c r="A1985" t="s">
        <v>705</v>
      </c>
      <c r="B1985" t="s">
        <v>165</v>
      </c>
      <c r="C1985" t="s">
        <v>706</v>
      </c>
      <c r="D1985">
        <v>992824041</v>
      </c>
      <c r="E1985" t="s">
        <v>13</v>
      </c>
      <c r="F1985" s="1">
        <v>45659</v>
      </c>
      <c r="G1985" t="s">
        <v>29</v>
      </c>
      <c r="H1985" s="2">
        <v>40.43</v>
      </c>
      <c r="I1985" t="s">
        <v>507</v>
      </c>
      <c r="J1985" t="s">
        <v>22</v>
      </c>
      <c r="K1985" t="s">
        <v>12</v>
      </c>
    </row>
    <row r="1986" spans="1:11" x14ac:dyDescent="0.25">
      <c r="A1986" t="s">
        <v>1523</v>
      </c>
      <c r="B1986" t="s">
        <v>317</v>
      </c>
      <c r="C1986" t="s">
        <v>1524</v>
      </c>
      <c r="D1986">
        <v>730400662</v>
      </c>
      <c r="E1986" t="s">
        <v>9</v>
      </c>
      <c r="F1986" s="1">
        <v>45521</v>
      </c>
      <c r="G1986" t="s">
        <v>32</v>
      </c>
      <c r="H1986" s="2">
        <v>1237.6300000000001</v>
      </c>
      <c r="I1986" t="s">
        <v>25</v>
      </c>
      <c r="J1986" t="s">
        <v>22</v>
      </c>
      <c r="K1986" t="s">
        <v>16</v>
      </c>
    </row>
    <row r="1987" spans="1:11" x14ac:dyDescent="0.25">
      <c r="A1987" t="s">
        <v>424</v>
      </c>
      <c r="B1987" t="s">
        <v>137</v>
      </c>
      <c r="C1987" t="s">
        <v>425</v>
      </c>
      <c r="D1987">
        <v>733868257</v>
      </c>
      <c r="E1987" t="s">
        <v>18</v>
      </c>
      <c r="F1987" s="1">
        <v>45877</v>
      </c>
      <c r="G1987" t="s">
        <v>415</v>
      </c>
      <c r="H1987" s="2">
        <v>190.59</v>
      </c>
      <c r="I1987" t="s">
        <v>25</v>
      </c>
      <c r="J1987" t="s">
        <v>11</v>
      </c>
      <c r="K1987" t="s">
        <v>12</v>
      </c>
    </row>
    <row r="1988" spans="1:11" x14ac:dyDescent="0.25">
      <c r="A1988" t="s">
        <v>982</v>
      </c>
      <c r="B1988" t="s">
        <v>232</v>
      </c>
      <c r="C1988" t="s">
        <v>983</v>
      </c>
      <c r="D1988">
        <v>703991673</v>
      </c>
      <c r="E1988" t="s">
        <v>18</v>
      </c>
      <c r="F1988" s="1">
        <v>45397</v>
      </c>
      <c r="G1988" t="s">
        <v>506</v>
      </c>
      <c r="H1988" s="2">
        <v>1042.6199999999999</v>
      </c>
      <c r="I1988" t="s">
        <v>25</v>
      </c>
      <c r="J1988" t="s">
        <v>26</v>
      </c>
      <c r="K1988" t="s">
        <v>12</v>
      </c>
    </row>
    <row r="1989" spans="1:11" x14ac:dyDescent="0.25">
      <c r="A1989" t="s">
        <v>1340</v>
      </c>
      <c r="B1989" t="s">
        <v>309</v>
      </c>
      <c r="C1989" t="s">
        <v>1341</v>
      </c>
      <c r="D1989">
        <v>874961007</v>
      </c>
      <c r="E1989" t="s">
        <v>9</v>
      </c>
      <c r="F1989" s="1">
        <v>45346</v>
      </c>
      <c r="G1989" t="s">
        <v>47</v>
      </c>
      <c r="H1989" s="2">
        <v>1909.15</v>
      </c>
      <c r="I1989" t="s">
        <v>25</v>
      </c>
      <c r="J1989" t="s">
        <v>22</v>
      </c>
      <c r="K1989" t="s">
        <v>16</v>
      </c>
    </row>
    <row r="1990" spans="1:11" x14ac:dyDescent="0.25">
      <c r="A1990" t="s">
        <v>949</v>
      </c>
      <c r="B1990" t="s">
        <v>182</v>
      </c>
      <c r="C1990" t="s">
        <v>950</v>
      </c>
      <c r="D1990">
        <v>741931466</v>
      </c>
      <c r="E1990" t="s">
        <v>18</v>
      </c>
      <c r="F1990" s="1">
        <v>45317</v>
      </c>
      <c r="G1990" t="s">
        <v>440</v>
      </c>
      <c r="H1990" s="2">
        <v>907.01</v>
      </c>
      <c r="I1990" t="s">
        <v>25</v>
      </c>
      <c r="J1990" t="s">
        <v>11</v>
      </c>
      <c r="K1990" t="s">
        <v>12</v>
      </c>
    </row>
    <row r="1991" spans="1:11" x14ac:dyDescent="0.25">
      <c r="A1991" t="s">
        <v>1127</v>
      </c>
      <c r="B1991" t="s">
        <v>394</v>
      </c>
      <c r="C1991" t="s">
        <v>1128</v>
      </c>
      <c r="D1991">
        <v>923537231</v>
      </c>
      <c r="E1991" t="s">
        <v>9</v>
      </c>
      <c r="F1991" s="1">
        <v>45234</v>
      </c>
      <c r="G1991" t="s">
        <v>24</v>
      </c>
      <c r="H1991" s="2">
        <v>680.97</v>
      </c>
      <c r="I1991" t="s">
        <v>25</v>
      </c>
      <c r="J1991" t="s">
        <v>22</v>
      </c>
      <c r="K1991" t="s">
        <v>12</v>
      </c>
    </row>
    <row r="1992" spans="1:11" x14ac:dyDescent="0.25">
      <c r="A1992" t="s">
        <v>903</v>
      </c>
      <c r="B1992" t="s">
        <v>113</v>
      </c>
      <c r="C1992" t="s">
        <v>904</v>
      </c>
      <c r="D1992">
        <v>680373214</v>
      </c>
      <c r="E1992" t="s">
        <v>9</v>
      </c>
      <c r="F1992" s="1">
        <v>45721</v>
      </c>
      <c r="G1992" t="s">
        <v>21</v>
      </c>
      <c r="H1992" s="2">
        <v>787.47</v>
      </c>
      <c r="I1992" t="s">
        <v>25</v>
      </c>
      <c r="J1992" t="s">
        <v>22</v>
      </c>
      <c r="K1992" t="s">
        <v>16</v>
      </c>
    </row>
    <row r="1993" spans="1:11" x14ac:dyDescent="0.25">
      <c r="A1993" t="s">
        <v>490</v>
      </c>
      <c r="B1993" t="s">
        <v>394</v>
      </c>
      <c r="C1993" t="s">
        <v>491</v>
      </c>
      <c r="D1993">
        <v>806812397</v>
      </c>
      <c r="E1993" t="s">
        <v>18</v>
      </c>
      <c r="F1993" s="1">
        <v>45262</v>
      </c>
      <c r="G1993" t="s">
        <v>415</v>
      </c>
      <c r="H1993" s="2">
        <v>837.4</v>
      </c>
      <c r="I1993" t="s">
        <v>25</v>
      </c>
      <c r="J1993" t="s">
        <v>26</v>
      </c>
      <c r="K1993" t="s">
        <v>12</v>
      </c>
    </row>
    <row r="1994" spans="1:11" x14ac:dyDescent="0.25">
      <c r="A1994" t="s">
        <v>419</v>
      </c>
      <c r="B1994" t="s">
        <v>353</v>
      </c>
      <c r="C1994" t="s">
        <v>420</v>
      </c>
      <c r="D1994">
        <v>720443658</v>
      </c>
      <c r="E1994" t="s">
        <v>9</v>
      </c>
      <c r="F1994" s="1">
        <v>45433</v>
      </c>
      <c r="G1994" t="s">
        <v>14</v>
      </c>
      <c r="H1994" s="2">
        <v>251.89</v>
      </c>
      <c r="I1994" t="s">
        <v>25</v>
      </c>
      <c r="J1994" t="s">
        <v>22</v>
      </c>
      <c r="K1994" t="s">
        <v>12</v>
      </c>
    </row>
    <row r="1995" spans="1:11" x14ac:dyDescent="0.25">
      <c r="A1995" t="s">
        <v>593</v>
      </c>
      <c r="B1995" t="s">
        <v>404</v>
      </c>
      <c r="C1995" t="s">
        <v>594</v>
      </c>
      <c r="D1995">
        <v>703546596</v>
      </c>
      <c r="E1995" t="s">
        <v>18</v>
      </c>
      <c r="F1995" s="1">
        <v>45611</v>
      </c>
      <c r="G1995" t="s">
        <v>451</v>
      </c>
      <c r="H1995" s="2">
        <v>1939.42</v>
      </c>
      <c r="I1995" t="s">
        <v>25</v>
      </c>
      <c r="J1995" t="s">
        <v>36</v>
      </c>
      <c r="K1995" t="s">
        <v>16</v>
      </c>
    </row>
    <row r="1996" spans="1:11" x14ac:dyDescent="0.25">
      <c r="A1996" t="s">
        <v>523</v>
      </c>
      <c r="B1996" t="s">
        <v>94</v>
      </c>
      <c r="C1996" t="s">
        <v>524</v>
      </c>
      <c r="D1996">
        <v>708646101</v>
      </c>
      <c r="E1996" t="s">
        <v>9</v>
      </c>
      <c r="F1996" s="1">
        <v>45584</v>
      </c>
      <c r="G1996" t="s">
        <v>412</v>
      </c>
      <c r="H1996" s="2">
        <v>1669.36</v>
      </c>
      <c r="I1996" t="s">
        <v>444</v>
      </c>
      <c r="J1996" t="s">
        <v>36</v>
      </c>
      <c r="K1996" t="s">
        <v>16</v>
      </c>
    </row>
    <row r="1997" spans="1:11" x14ac:dyDescent="0.25">
      <c r="A1997" t="s">
        <v>741</v>
      </c>
      <c r="B1997" t="s">
        <v>99</v>
      </c>
      <c r="C1997" t="s">
        <v>742</v>
      </c>
      <c r="D1997">
        <v>958161330</v>
      </c>
      <c r="E1997" t="s">
        <v>13</v>
      </c>
      <c r="F1997" s="1">
        <v>45775</v>
      </c>
      <c r="G1997" t="s">
        <v>35</v>
      </c>
      <c r="H1997" s="2">
        <v>1161.1199999999999</v>
      </c>
      <c r="I1997" t="s">
        <v>25</v>
      </c>
      <c r="J1997" t="s">
        <v>33</v>
      </c>
      <c r="K1997" t="s">
        <v>16</v>
      </c>
    </row>
    <row r="1998" spans="1:11" x14ac:dyDescent="0.25">
      <c r="A1998" t="s">
        <v>514</v>
      </c>
      <c r="B1998" t="s">
        <v>292</v>
      </c>
      <c r="C1998" t="s">
        <v>515</v>
      </c>
      <c r="D1998">
        <v>726799934</v>
      </c>
      <c r="E1998" t="s">
        <v>18</v>
      </c>
      <c r="F1998" s="1">
        <v>45403</v>
      </c>
      <c r="G1998" t="s">
        <v>440</v>
      </c>
      <c r="H1998" s="2">
        <v>532.35</v>
      </c>
      <c r="I1998" t="s">
        <v>507</v>
      </c>
      <c r="J1998" t="s">
        <v>36</v>
      </c>
      <c r="K1998" t="s">
        <v>12</v>
      </c>
    </row>
    <row r="1999" spans="1:11" x14ac:dyDescent="0.25">
      <c r="A1999" t="s">
        <v>612</v>
      </c>
      <c r="B1999" t="s">
        <v>308</v>
      </c>
      <c r="C1999" t="s">
        <v>613</v>
      </c>
      <c r="D1999">
        <v>702654485</v>
      </c>
      <c r="E1999" t="s">
        <v>9</v>
      </c>
      <c r="F1999" s="1">
        <v>45659</v>
      </c>
      <c r="G1999" t="s">
        <v>418</v>
      </c>
      <c r="H1999" s="2">
        <v>1935.88</v>
      </c>
      <c r="I1999" t="s">
        <v>25</v>
      </c>
      <c r="J1999" t="s">
        <v>22</v>
      </c>
      <c r="K1999" t="s">
        <v>12</v>
      </c>
    </row>
    <row r="2000" spans="1:11" x14ac:dyDescent="0.25">
      <c r="A2000" t="s">
        <v>778</v>
      </c>
      <c r="B2000" t="s">
        <v>162</v>
      </c>
      <c r="C2000" t="s">
        <v>779</v>
      </c>
      <c r="D2000">
        <v>859523189</v>
      </c>
      <c r="E2000" t="s">
        <v>9</v>
      </c>
      <c r="F2000" s="1">
        <v>45734</v>
      </c>
      <c r="G2000" t="s">
        <v>19</v>
      </c>
      <c r="H2000" s="2">
        <v>1539.43</v>
      </c>
      <c r="I2000" t="s">
        <v>25</v>
      </c>
      <c r="J2000" t="s">
        <v>26</v>
      </c>
      <c r="K2000" t="s">
        <v>16</v>
      </c>
    </row>
    <row r="2001" spans="1:11" x14ac:dyDescent="0.25">
      <c r="A2001" t="s">
        <v>533</v>
      </c>
      <c r="B2001" t="s">
        <v>77</v>
      </c>
      <c r="C2001" t="s">
        <v>534</v>
      </c>
      <c r="D2001">
        <v>743862708</v>
      </c>
      <c r="E2001" t="s">
        <v>9</v>
      </c>
      <c r="F2001" s="1">
        <v>45518</v>
      </c>
      <c r="G2001" t="s">
        <v>443</v>
      </c>
      <c r="H2001" s="2">
        <v>37.26</v>
      </c>
      <c r="I2001" t="s">
        <v>507</v>
      </c>
      <c r="J2001" t="s">
        <v>33</v>
      </c>
      <c r="K2001" t="s">
        <v>12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913C-A0A9-4304-9863-F0AC1E0362F8}">
  <sheetPr codeName="Hoja2"/>
  <dimension ref="B2:Q85"/>
  <sheetViews>
    <sheetView topLeftCell="C13" zoomScale="85" zoomScaleNormal="85" workbookViewId="0">
      <selection activeCell="M42" sqref="M42"/>
    </sheetView>
  </sheetViews>
  <sheetFormatPr baseColWidth="10" defaultColWidth="11.42578125" defaultRowHeight="15" x14ac:dyDescent="0.25"/>
  <cols>
    <col min="1" max="1" width="17" customWidth="1"/>
    <col min="2" max="2" width="21.7109375" bestFit="1" customWidth="1"/>
    <col min="3" max="3" width="12.140625" bestFit="1" customWidth="1"/>
    <col min="4" max="5" width="14.140625" bestFit="1" customWidth="1"/>
    <col min="6" max="6" width="12.140625" bestFit="1" customWidth="1"/>
    <col min="7" max="7" width="21.7109375" bestFit="1" customWidth="1"/>
    <col min="8" max="9" width="17.85546875" bestFit="1" customWidth="1"/>
    <col min="10" max="10" width="21.7109375" bestFit="1" customWidth="1"/>
    <col min="11" max="11" width="14.140625" bestFit="1" customWidth="1"/>
    <col min="12" max="12" width="21" customWidth="1"/>
    <col min="13" max="13" width="17.85546875" bestFit="1" customWidth="1"/>
    <col min="14" max="14" width="21.7109375" bestFit="1" customWidth="1"/>
    <col min="15" max="15" width="17.85546875" bestFit="1" customWidth="1"/>
    <col min="16" max="16" width="14.140625" bestFit="1" customWidth="1"/>
  </cols>
  <sheetData>
    <row r="2" spans="2:17" x14ac:dyDescent="0.25">
      <c r="D2" s="13"/>
      <c r="E2" s="22"/>
    </row>
    <row r="3" spans="2:17" x14ac:dyDescent="0.25">
      <c r="D3" s="14"/>
      <c r="H3" s="23" t="s">
        <v>1585</v>
      </c>
      <c r="I3" s="28"/>
      <c r="J3" s="28"/>
      <c r="K3" s="28"/>
      <c r="L3" s="28"/>
      <c r="M3" s="28"/>
      <c r="O3" s="25" t="s">
        <v>1587</v>
      </c>
      <c r="P3" s="25"/>
      <c r="Q3" s="25"/>
    </row>
    <row r="4" spans="2:17" x14ac:dyDescent="0.25">
      <c r="I4" t="s">
        <v>1586</v>
      </c>
      <c r="K4" s="18">
        <f>H13</f>
        <v>1668719.0100000033</v>
      </c>
      <c r="L4" s="14">
        <f>I15</f>
        <v>0.83744668520928967</v>
      </c>
    </row>
    <row r="5" spans="2:17" x14ac:dyDescent="0.25">
      <c r="K5" s="14">
        <f>H15</f>
        <v>0.10741174453331094</v>
      </c>
      <c r="L5" s="14">
        <f>I13</f>
        <v>7.2601705378742151E-2</v>
      </c>
      <c r="O5" s="23" t="s">
        <v>1593</v>
      </c>
      <c r="P5" s="23"/>
      <c r="Q5" s="23"/>
    </row>
    <row r="6" spans="2:17" x14ac:dyDescent="0.25">
      <c r="B6" s="23" t="s">
        <v>1588</v>
      </c>
      <c r="C6" s="26"/>
      <c r="D6" s="26"/>
      <c r="E6" s="26"/>
      <c r="F6" s="26"/>
      <c r="H6" t="str">
        <f>_xlfn.CONCAT("Análisis de ",I4," de")</f>
        <v>Análisis de Beneficios de</v>
      </c>
      <c r="I6" t="str">
        <f>_xlfn.CONCAT(I4," totales")</f>
        <v>Beneficios totales</v>
      </c>
      <c r="K6" s="27" t="str">
        <f>_xlfn.CONCAT(I4," Trimestrales últimos tres años")</f>
        <v>Beneficios Trimestrales últimos tres años</v>
      </c>
      <c r="L6" s="27"/>
      <c r="M6" t="str">
        <f>_xlfn.CONCAT(I4," por Provincia")</f>
        <v>Beneficios por Provincia</v>
      </c>
    </row>
    <row r="7" spans="2:17" x14ac:dyDescent="0.25">
      <c r="O7" s="4" t="s">
        <v>1567</v>
      </c>
      <c r="P7" t="s">
        <v>1566</v>
      </c>
    </row>
    <row r="8" spans="2:17" x14ac:dyDescent="0.25">
      <c r="O8" s="5" t="s">
        <v>507</v>
      </c>
      <c r="P8" s="3">
        <v>144668.12999999992</v>
      </c>
      <c r="Q8" s="17">
        <f>GETPIVOTDATA("Total Gastado",$O$7,"Estado Pedido","Devuelto")/GETPIVOTDATA("Total Gastado",$O$7)</f>
        <v>7.2601705378742151E-2</v>
      </c>
    </row>
    <row r="9" spans="2:17" x14ac:dyDescent="0.25">
      <c r="H9" s="23" t="s">
        <v>1589</v>
      </c>
      <c r="I9" s="23"/>
      <c r="K9" s="23" t="s">
        <v>1590</v>
      </c>
      <c r="L9" s="23"/>
      <c r="O9" s="5" t="s">
        <v>444</v>
      </c>
      <c r="P9" s="3">
        <v>179240.0199999999</v>
      </c>
      <c r="Q9" s="17">
        <f>GETPIVOTDATA("Total Gastado",$O$7,"Estado Pedido","En Proceso")/GETPIVOTDATA("Total Gastado",$O$7,"Estado Pedido","Entregado")</f>
        <v>0.10741174453331094</v>
      </c>
    </row>
    <row r="10" spans="2:17" x14ac:dyDescent="0.25">
      <c r="O10" s="5" t="s">
        <v>25</v>
      </c>
      <c r="P10" s="3">
        <v>1668719.0100000033</v>
      </c>
      <c r="Q10" s="17">
        <f>GETPIVOTDATA("Total Gastado",$O$7,"Estado Pedido","Entregado")/GETPIVOTDATA("Total Gastado",$O$7)</f>
        <v>0.83744668520928967</v>
      </c>
    </row>
    <row r="11" spans="2:17" x14ac:dyDescent="0.25">
      <c r="H11" s="24" t="s">
        <v>1576</v>
      </c>
      <c r="I11" s="24"/>
      <c r="K11" s="24" t="s">
        <v>1576</v>
      </c>
      <c r="L11" s="24"/>
      <c r="O11" s="5" t="s">
        <v>1568</v>
      </c>
      <c r="P11" s="3">
        <v>1992627.1600000029</v>
      </c>
    </row>
    <row r="12" spans="2:17" x14ac:dyDescent="0.25">
      <c r="H12" s="8" t="s">
        <v>1578</v>
      </c>
      <c r="I12" s="8" t="s">
        <v>1577</v>
      </c>
      <c r="K12" s="20" t="s">
        <v>1592</v>
      </c>
      <c r="L12" s="8" t="s">
        <v>1577</v>
      </c>
    </row>
    <row r="13" spans="2:17" x14ac:dyDescent="0.25">
      <c r="H13" s="12">
        <f>GETPIVOTDATA("Total Gastado",$B$22)</f>
        <v>1668719.0100000033</v>
      </c>
      <c r="I13" s="7">
        <f>Q8</f>
        <v>7.2601705378742151E-2</v>
      </c>
      <c r="K13" s="21">
        <f>F23</f>
        <v>1677</v>
      </c>
      <c r="L13" s="7">
        <f>Q16</f>
        <v>6.7500000000000004E-2</v>
      </c>
      <c r="O13" s="23" t="s">
        <v>1594</v>
      </c>
      <c r="P13" s="23"/>
      <c r="Q13" s="23"/>
    </row>
    <row r="14" spans="2:17" x14ac:dyDescent="0.25">
      <c r="H14" s="8" t="s">
        <v>1579</v>
      </c>
      <c r="I14" s="8" t="s">
        <v>1580</v>
      </c>
      <c r="K14" s="8" t="s">
        <v>1579</v>
      </c>
      <c r="L14" s="8" t="s">
        <v>1580</v>
      </c>
    </row>
    <row r="15" spans="2:17" x14ac:dyDescent="0.25">
      <c r="H15" s="7">
        <f>Q9</f>
        <v>0.10741174453331094</v>
      </c>
      <c r="I15" s="7">
        <f>Q10</f>
        <v>0.83744668520928967</v>
      </c>
      <c r="K15" s="7">
        <f>Q17</f>
        <v>9.4E-2</v>
      </c>
      <c r="L15" s="7">
        <f>Q18</f>
        <v>0.83850000000000002</v>
      </c>
      <c r="O15" s="4" t="s">
        <v>1567</v>
      </c>
      <c r="P15" t="s">
        <v>1574</v>
      </c>
    </row>
    <row r="16" spans="2:17" x14ac:dyDescent="0.25">
      <c r="O16" s="5" t="s">
        <v>507</v>
      </c>
      <c r="P16" s="29">
        <v>135</v>
      </c>
      <c r="Q16" s="17">
        <f>GETPIVOTDATA("DNI",$O$15,"Estado Pedido","Devuelto")/GETPIVOTDATA("DNI",$O$15)</f>
        <v>6.7500000000000004E-2</v>
      </c>
    </row>
    <row r="17" spans="2:17" x14ac:dyDescent="0.25">
      <c r="O17" s="5" t="s">
        <v>444</v>
      </c>
      <c r="P17" s="29">
        <v>188</v>
      </c>
      <c r="Q17" s="17">
        <f>GETPIVOTDATA("DNI",$O$15,"Estado Pedido","En Proceso")/GETPIVOTDATA("DNI",$O$15)</f>
        <v>9.4E-2</v>
      </c>
    </row>
    <row r="18" spans="2:17" x14ac:dyDescent="0.25">
      <c r="B18" s="28" t="s">
        <v>1575</v>
      </c>
      <c r="C18" s="28"/>
      <c r="E18" s="23" t="s">
        <v>1591</v>
      </c>
      <c r="F18" s="28"/>
      <c r="O18" s="5" t="s">
        <v>25</v>
      </c>
      <c r="P18" s="29">
        <v>1677</v>
      </c>
      <c r="Q18" s="17">
        <f>GETPIVOTDATA("DNI",$O$15,"Estado Pedido","Entregado")/GETPIVOTDATA("DNI",$O$15)</f>
        <v>0.83850000000000002</v>
      </c>
    </row>
    <row r="19" spans="2:17" x14ac:dyDescent="0.25">
      <c r="O19" s="5" t="s">
        <v>1568</v>
      </c>
      <c r="P19" s="29">
        <v>2000</v>
      </c>
    </row>
    <row r="20" spans="2:17" x14ac:dyDescent="0.25">
      <c r="B20" s="4" t="s">
        <v>7</v>
      </c>
      <c r="C20" t="s">
        <v>25</v>
      </c>
      <c r="E20" s="4" t="s">
        <v>7</v>
      </c>
      <c r="F20" t="s">
        <v>25</v>
      </c>
      <c r="H20" s="28" t="s">
        <v>1573</v>
      </c>
      <c r="I20" s="28"/>
    </row>
    <row r="22" spans="2:17" x14ac:dyDescent="0.25">
      <c r="B22" t="s">
        <v>1566</v>
      </c>
      <c r="E22" t="s">
        <v>1574</v>
      </c>
      <c r="H22" s="4" t="s">
        <v>1567</v>
      </c>
      <c r="I22" t="s">
        <v>1566</v>
      </c>
    </row>
    <row r="23" spans="2:17" x14ac:dyDescent="0.25">
      <c r="B23" s="3">
        <v>1668719.0100000033</v>
      </c>
      <c r="C23" s="18">
        <f>GETPIVOTDATA("Total Gastado",$B$22)</f>
        <v>1668719.0100000033</v>
      </c>
      <c r="E23" s="29">
        <v>1677</v>
      </c>
      <c r="F23" s="19">
        <f>GETPIVOTDATA("DNI",$E$22)</f>
        <v>1677</v>
      </c>
      <c r="H23" s="5" t="s">
        <v>1581</v>
      </c>
      <c r="I23" s="3">
        <v>321075.09999999986</v>
      </c>
    </row>
    <row r="24" spans="2:17" x14ac:dyDescent="0.25">
      <c r="B24" s="3"/>
      <c r="E24" s="3"/>
      <c r="H24" s="6" t="s">
        <v>1582</v>
      </c>
      <c r="I24" s="3">
        <v>56651.669999999991</v>
      </c>
    </row>
    <row r="25" spans="2:17" x14ac:dyDescent="0.25">
      <c r="H25" s="6" t="s">
        <v>1583</v>
      </c>
      <c r="I25" s="3">
        <v>264423.42999999988</v>
      </c>
    </row>
    <row r="26" spans="2:17" x14ac:dyDescent="0.25">
      <c r="B26" s="28" t="s">
        <v>1569</v>
      </c>
      <c r="C26" s="28"/>
      <c r="H26" s="5" t="s">
        <v>1570</v>
      </c>
      <c r="I26" s="3">
        <v>953912.6100000001</v>
      </c>
    </row>
    <row r="27" spans="2:17" x14ac:dyDescent="0.25">
      <c r="H27" s="6" t="s">
        <v>1571</v>
      </c>
      <c r="I27" s="3">
        <v>218896.13999999996</v>
      </c>
    </row>
    <row r="28" spans="2:17" x14ac:dyDescent="0.25">
      <c r="B28" s="4" t="s">
        <v>1567</v>
      </c>
      <c r="C28" t="s">
        <v>1566</v>
      </c>
      <c r="H28" s="6" t="s">
        <v>1572</v>
      </c>
      <c r="I28" s="3">
        <v>251992.38000000009</v>
      </c>
    </row>
    <row r="29" spans="2:17" x14ac:dyDescent="0.25">
      <c r="B29" s="5" t="s">
        <v>39</v>
      </c>
      <c r="C29" s="3">
        <v>46543.519999999997</v>
      </c>
      <c r="H29" s="6" t="s">
        <v>1582</v>
      </c>
      <c r="I29" s="3">
        <v>262161.49</v>
      </c>
    </row>
    <row r="30" spans="2:17" x14ac:dyDescent="0.25">
      <c r="B30" s="5" t="s">
        <v>35</v>
      </c>
      <c r="C30" s="3">
        <v>71262.050000000032</v>
      </c>
      <c r="H30" s="6" t="s">
        <v>1583</v>
      </c>
      <c r="I30" s="3">
        <v>220862.60000000003</v>
      </c>
    </row>
    <row r="31" spans="2:17" x14ac:dyDescent="0.25">
      <c r="B31" s="5" t="s">
        <v>10</v>
      </c>
      <c r="C31" s="3">
        <v>113972.51</v>
      </c>
      <c r="H31" s="5" t="s">
        <v>1584</v>
      </c>
      <c r="I31" s="3">
        <v>717639.45000000007</v>
      </c>
    </row>
    <row r="32" spans="2:17" x14ac:dyDescent="0.25">
      <c r="B32" s="5" t="s">
        <v>14</v>
      </c>
      <c r="C32" s="3">
        <v>108364.97000000002</v>
      </c>
      <c r="H32" s="6" t="s">
        <v>1571</v>
      </c>
      <c r="I32" s="3">
        <v>244656.45999999996</v>
      </c>
    </row>
    <row r="33" spans="2:14" x14ac:dyDescent="0.25">
      <c r="B33" s="5" t="s">
        <v>624</v>
      </c>
      <c r="C33" s="3">
        <v>58124.350000000013</v>
      </c>
      <c r="H33" s="6" t="s">
        <v>1572</v>
      </c>
      <c r="I33" s="3">
        <v>269851.88000000012</v>
      </c>
    </row>
    <row r="34" spans="2:14" x14ac:dyDescent="0.25">
      <c r="B34" s="5" t="s">
        <v>443</v>
      </c>
      <c r="C34" s="3">
        <v>82086.559999999983</v>
      </c>
      <c r="H34" s="6" t="s">
        <v>1582</v>
      </c>
      <c r="I34" s="3">
        <v>203131.11000000002</v>
      </c>
    </row>
    <row r="35" spans="2:14" x14ac:dyDescent="0.25">
      <c r="B35" s="5" t="s">
        <v>418</v>
      </c>
      <c r="C35" s="3">
        <v>107569.51999999995</v>
      </c>
      <c r="H35" s="5" t="s">
        <v>1568</v>
      </c>
      <c r="I35" s="3">
        <v>1992627.1600000001</v>
      </c>
    </row>
    <row r="36" spans="2:14" x14ac:dyDescent="0.25">
      <c r="B36" s="5" t="s">
        <v>423</v>
      </c>
      <c r="C36" s="3">
        <v>118748.47000000004</v>
      </c>
    </row>
    <row r="37" spans="2:14" x14ac:dyDescent="0.25">
      <c r="B37" s="5" t="s">
        <v>460</v>
      </c>
      <c r="C37" s="3">
        <v>85239.069999999978</v>
      </c>
    </row>
    <row r="38" spans="2:14" x14ac:dyDescent="0.25">
      <c r="B38" s="5" t="s">
        <v>21</v>
      </c>
      <c r="C38" s="3">
        <v>77175.5</v>
      </c>
    </row>
    <row r="39" spans="2:14" x14ac:dyDescent="0.25">
      <c r="B39" s="5" t="s">
        <v>32</v>
      </c>
      <c r="C39" s="3">
        <v>73072.220000000016</v>
      </c>
    </row>
    <row r="40" spans="2:14" x14ac:dyDescent="0.25">
      <c r="B40" s="5" t="s">
        <v>19</v>
      </c>
      <c r="C40" s="3">
        <v>64485.599999999991</v>
      </c>
    </row>
    <row r="41" spans="2:14" x14ac:dyDescent="0.25">
      <c r="B41" s="5" t="s">
        <v>440</v>
      </c>
      <c r="C41" s="3">
        <v>141604.25</v>
      </c>
      <c r="I41" s="23" t="s">
        <v>1596</v>
      </c>
      <c r="J41" s="28"/>
      <c r="M41" s="23" t="s">
        <v>1597</v>
      </c>
      <c r="N41" s="28"/>
    </row>
    <row r="42" spans="2:14" x14ac:dyDescent="0.25">
      <c r="B42" s="5" t="s">
        <v>412</v>
      </c>
      <c r="C42" s="3">
        <v>65070.93</v>
      </c>
    </row>
    <row r="43" spans="2:14" x14ac:dyDescent="0.25">
      <c r="B43" s="5" t="s">
        <v>506</v>
      </c>
      <c r="C43" s="3">
        <v>75232.990000000034</v>
      </c>
      <c r="I43" s="4" t="s">
        <v>1567</v>
      </c>
      <c r="J43" t="s">
        <v>1566</v>
      </c>
      <c r="M43" s="4" t="s">
        <v>1567</v>
      </c>
      <c r="N43" t="s">
        <v>1566</v>
      </c>
    </row>
    <row r="44" spans="2:14" x14ac:dyDescent="0.25">
      <c r="B44" s="5" t="s">
        <v>451</v>
      </c>
      <c r="C44" s="3">
        <v>73925.600000000006</v>
      </c>
      <c r="I44" s="5" t="s">
        <v>12</v>
      </c>
      <c r="J44" s="3">
        <v>1008864.5499999998</v>
      </c>
      <c r="M44" s="5" t="s">
        <v>507</v>
      </c>
      <c r="N44" s="3">
        <v>144668.12999999992</v>
      </c>
    </row>
    <row r="45" spans="2:14" x14ac:dyDescent="0.25">
      <c r="B45" s="5" t="s">
        <v>475</v>
      </c>
      <c r="C45" s="3">
        <v>76798.070000000022</v>
      </c>
      <c r="I45" s="5" t="s">
        <v>16</v>
      </c>
      <c r="J45" s="3">
        <v>983762.61000000022</v>
      </c>
      <c r="M45" s="5" t="s">
        <v>444</v>
      </c>
      <c r="N45" s="3">
        <v>179240.0199999999</v>
      </c>
    </row>
    <row r="46" spans="2:14" x14ac:dyDescent="0.25">
      <c r="B46" s="5" t="s">
        <v>29</v>
      </c>
      <c r="C46" s="3">
        <v>47058.859999999993</v>
      </c>
      <c r="I46" s="5" t="s">
        <v>1568</v>
      </c>
      <c r="J46" s="3">
        <v>1992627.1600000001</v>
      </c>
      <c r="M46" s="5" t="s">
        <v>25</v>
      </c>
      <c r="N46" s="3">
        <v>1668719.0100000033</v>
      </c>
    </row>
    <row r="47" spans="2:14" x14ac:dyDescent="0.25">
      <c r="B47" s="5" t="s">
        <v>478</v>
      </c>
      <c r="C47" s="3">
        <v>76304.189999999988</v>
      </c>
      <c r="J47" s="3"/>
      <c r="M47" s="5" t="s">
        <v>1568</v>
      </c>
      <c r="N47" s="3">
        <v>1992627.1600000029</v>
      </c>
    </row>
    <row r="48" spans="2:14" x14ac:dyDescent="0.25">
      <c r="B48" s="5" t="s">
        <v>47</v>
      </c>
      <c r="C48" s="3">
        <v>108672.50000000001</v>
      </c>
      <c r="J48" s="3"/>
    </row>
    <row r="49" spans="2:10" x14ac:dyDescent="0.25">
      <c r="B49" s="5" t="s">
        <v>603</v>
      </c>
      <c r="C49" s="3">
        <v>36471.890000000007</v>
      </c>
      <c r="J49" s="3"/>
    </row>
    <row r="50" spans="2:10" x14ac:dyDescent="0.25">
      <c r="B50" s="5" t="s">
        <v>518</v>
      </c>
      <c r="C50" s="3">
        <v>71897.570000000022</v>
      </c>
      <c r="J50" s="3"/>
    </row>
    <row r="51" spans="2:10" x14ac:dyDescent="0.25">
      <c r="B51" s="5" t="s">
        <v>415</v>
      </c>
      <c r="C51" s="3">
        <v>109746.69999999997</v>
      </c>
      <c r="J51" s="3"/>
    </row>
    <row r="52" spans="2:10" x14ac:dyDescent="0.25">
      <c r="B52" s="5" t="s">
        <v>24</v>
      </c>
      <c r="C52" s="3">
        <v>103199.27000000002</v>
      </c>
      <c r="J52" s="3"/>
    </row>
    <row r="53" spans="2:10" x14ac:dyDescent="0.25">
      <c r="B53" s="5" t="s">
        <v>1568</v>
      </c>
      <c r="C53" s="3">
        <v>1992627.16</v>
      </c>
      <c r="J53" s="3"/>
    </row>
    <row r="54" spans="2:10" x14ac:dyDescent="0.25">
      <c r="J54" s="3"/>
    </row>
    <row r="55" spans="2:10" x14ac:dyDescent="0.25">
      <c r="J55" s="3"/>
    </row>
    <row r="56" spans="2:10" x14ac:dyDescent="0.25">
      <c r="J56" s="3"/>
    </row>
    <row r="57" spans="2:10" x14ac:dyDescent="0.25">
      <c r="J57" s="3"/>
    </row>
    <row r="62" spans="2:10" x14ac:dyDescent="0.25">
      <c r="J62" s="3"/>
    </row>
    <row r="65" spans="3:14" x14ac:dyDescent="0.25">
      <c r="M65" s="4" t="s">
        <v>1567</v>
      </c>
      <c r="N65" t="s">
        <v>1566</v>
      </c>
    </row>
    <row r="66" spans="3:14" x14ac:dyDescent="0.25">
      <c r="M66" s="5" t="s">
        <v>507</v>
      </c>
      <c r="N66" s="3">
        <v>144668.12999999992</v>
      </c>
    </row>
    <row r="67" spans="3:14" x14ac:dyDescent="0.25">
      <c r="M67" s="5" t="s">
        <v>444</v>
      </c>
      <c r="N67" s="3">
        <v>179240.0199999999</v>
      </c>
    </row>
    <row r="68" spans="3:14" x14ac:dyDescent="0.25">
      <c r="M68" s="5" t="s">
        <v>25</v>
      </c>
      <c r="N68" s="3">
        <v>1668719.0100000033</v>
      </c>
    </row>
    <row r="69" spans="3:14" x14ac:dyDescent="0.25">
      <c r="M69" s="5" t="s">
        <v>1568</v>
      </c>
      <c r="N69" s="3">
        <v>1992627.1600000029</v>
      </c>
    </row>
    <row r="80" spans="3:14" x14ac:dyDescent="0.25">
      <c r="C80" s="3"/>
    </row>
    <row r="85" spans="3:3" x14ac:dyDescent="0.25">
      <c r="C85" s="3"/>
    </row>
  </sheetData>
  <mergeCells count="16">
    <mergeCell ref="I41:J41"/>
    <mergeCell ref="M41:N41"/>
    <mergeCell ref="B6:F6"/>
    <mergeCell ref="O5:Q5"/>
    <mergeCell ref="K6:L6"/>
    <mergeCell ref="B26:C26"/>
    <mergeCell ref="B18:C18"/>
    <mergeCell ref="K11:L11"/>
    <mergeCell ref="H20:I20"/>
    <mergeCell ref="E18:F18"/>
    <mergeCell ref="O13:Q13"/>
    <mergeCell ref="H11:I11"/>
    <mergeCell ref="H9:I9"/>
    <mergeCell ref="K9:L9"/>
    <mergeCell ref="O3:Q3"/>
    <mergeCell ref="H3:M3"/>
  </mergeCells>
  <pageMargins left="0.7" right="0.7" top="0.75" bottom="0.75" header="0.3" footer="0.3"/>
  <pageSetup paperSize="9" orientation="portrait" r:id="rId10"/>
  <drawing r:id="rId11"/>
  <extLst>
    <ext xmlns:x14="http://schemas.microsoft.com/office/spreadsheetml/2009/9/main" uri="{A8765BA9-456A-4dab-B4F3-ACF838C121DE}">
      <x14:slicerList>
        <x14:slicer r:id="rId12"/>
      </x14:slicerList>
    </ext>
    <ext xmlns:x15="http://schemas.microsoft.com/office/spreadsheetml/2010/11/main" uri="{7E03D99C-DC04-49d9-9315-930204A7B6E9}">
      <x15:timelineRefs>
        <x15:timelineRef r:id="rId1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39AC-62DF-4799-BE42-D5399BA1E210}">
  <sheetPr codeName="Hoja3"/>
  <dimension ref="A1:Y51"/>
  <sheetViews>
    <sheetView tabSelected="1" topLeftCell="A4" zoomScaleNormal="100" workbookViewId="0">
      <selection activeCell="T31" sqref="T31"/>
    </sheetView>
  </sheetViews>
  <sheetFormatPr baseColWidth="10" defaultColWidth="10.7109375" defaultRowHeight="15" x14ac:dyDescent="0.25"/>
  <sheetData>
    <row r="1" spans="1:25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15"/>
      <c r="T1" s="15"/>
      <c r="U1" s="15"/>
      <c r="V1" s="15"/>
      <c r="W1" s="15"/>
      <c r="X1" s="15"/>
      <c r="Y1" s="15"/>
    </row>
    <row r="2" spans="1:25" x14ac:dyDescent="0.25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15"/>
      <c r="T2" s="15"/>
      <c r="U2" s="15"/>
      <c r="V2" s="15"/>
      <c r="W2" s="15"/>
      <c r="X2" s="15"/>
      <c r="Y2" s="15"/>
    </row>
    <row r="3" spans="1:25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15"/>
      <c r="T3" s="15"/>
      <c r="U3" s="15"/>
      <c r="V3" s="15"/>
      <c r="W3" s="15"/>
      <c r="X3" s="15"/>
      <c r="Y3" s="15"/>
    </row>
    <row r="4" spans="1:25" x14ac:dyDescent="0.25">
      <c r="A4" s="9"/>
      <c r="B4" s="9"/>
      <c r="C4" s="9"/>
      <c r="D4" s="9"/>
      <c r="E4" s="9"/>
      <c r="F4" s="9"/>
      <c r="G4" s="9"/>
      <c r="H4" s="9"/>
      <c r="I4" s="9" t="s">
        <v>1595</v>
      </c>
      <c r="J4" s="9"/>
      <c r="K4" s="9"/>
      <c r="L4" s="9"/>
      <c r="M4" s="9"/>
      <c r="N4" s="9"/>
      <c r="O4" s="9"/>
      <c r="P4" s="9"/>
      <c r="Q4" s="9"/>
      <c r="R4" s="9"/>
      <c r="S4" s="15"/>
      <c r="T4" s="15"/>
      <c r="U4" s="15"/>
      <c r="V4" s="15"/>
      <c r="W4" s="15"/>
      <c r="X4" s="15"/>
      <c r="Y4" s="15"/>
    </row>
    <row r="5" spans="1:25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15"/>
      <c r="T5" s="15"/>
      <c r="U5" s="15"/>
      <c r="V5" s="15"/>
      <c r="W5" s="15"/>
      <c r="X5" s="15"/>
      <c r="Y5" s="15"/>
    </row>
    <row r="6" spans="1:25" x14ac:dyDescent="0.25">
      <c r="A6" s="10"/>
      <c r="B6" s="10"/>
      <c r="C6" s="10"/>
      <c r="D6" s="10"/>
      <c r="E6" s="10"/>
      <c r="F6" s="10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15"/>
      <c r="T6" s="15"/>
      <c r="U6" s="15"/>
      <c r="V6" s="15"/>
      <c r="W6" s="15"/>
      <c r="X6" s="15"/>
      <c r="Y6" s="15"/>
    </row>
    <row r="7" spans="1:25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15"/>
      <c r="T7" s="15"/>
      <c r="U7" s="15"/>
      <c r="V7" s="15"/>
      <c r="W7" s="15"/>
      <c r="X7" s="15"/>
      <c r="Y7" s="15"/>
    </row>
    <row r="8" spans="1:25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15"/>
      <c r="T8" s="15"/>
      <c r="U8" s="15"/>
      <c r="V8" s="15"/>
      <c r="W8" s="15"/>
      <c r="X8" s="15"/>
      <c r="Y8" s="15"/>
    </row>
    <row r="9" spans="1:25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15"/>
      <c r="T9" s="15"/>
      <c r="U9" s="15"/>
      <c r="V9" s="15"/>
      <c r="W9" s="15"/>
      <c r="X9" s="15"/>
      <c r="Y9" s="15"/>
    </row>
    <row r="10" spans="1:25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15"/>
      <c r="T10" s="15"/>
      <c r="U10" s="15"/>
      <c r="V10" s="15"/>
      <c r="W10" s="15"/>
      <c r="X10" s="15"/>
      <c r="Y10" s="15"/>
    </row>
    <row r="11" spans="1:25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15"/>
      <c r="T11" s="15"/>
      <c r="U11" s="15"/>
      <c r="V11" s="15"/>
      <c r="W11" s="15"/>
      <c r="X11" s="15"/>
      <c r="Y11" s="15"/>
    </row>
    <row r="12" spans="1:25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15"/>
      <c r="T12" s="15"/>
      <c r="U12" s="15"/>
      <c r="V12" s="16"/>
      <c r="W12" s="15"/>
      <c r="X12" s="15"/>
      <c r="Y12" s="15"/>
    </row>
    <row r="13" spans="1:25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15"/>
      <c r="T13" s="15"/>
      <c r="U13" s="15"/>
      <c r="V13" s="15"/>
      <c r="W13" s="15"/>
      <c r="X13" s="15"/>
      <c r="Y13" s="15"/>
    </row>
    <row r="14" spans="1:25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15"/>
      <c r="T14" s="15"/>
      <c r="U14" s="15"/>
      <c r="V14" s="15"/>
      <c r="W14" s="15"/>
      <c r="X14" s="15"/>
      <c r="Y14" s="15"/>
    </row>
    <row r="15" spans="1:25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15"/>
      <c r="T15" s="15"/>
      <c r="U15" s="15"/>
      <c r="V15" s="15"/>
      <c r="W15" s="15"/>
      <c r="X15" s="15"/>
      <c r="Y15" s="15"/>
    </row>
    <row r="16" spans="1:25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15"/>
      <c r="T16" s="15"/>
      <c r="U16" s="15"/>
      <c r="V16" s="15"/>
      <c r="W16" s="15"/>
      <c r="X16" s="15"/>
      <c r="Y16" s="15"/>
    </row>
    <row r="17" spans="1:25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15"/>
      <c r="T17" s="15"/>
      <c r="U17" s="15"/>
      <c r="V17" s="15"/>
      <c r="W17" s="15"/>
      <c r="X17" s="15"/>
      <c r="Y17" s="15"/>
    </row>
    <row r="18" spans="1:25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15"/>
      <c r="T18" s="15"/>
      <c r="U18" s="15"/>
      <c r="V18" s="15"/>
      <c r="W18" s="15"/>
      <c r="X18" s="15"/>
      <c r="Y18" s="15"/>
    </row>
    <row r="19" spans="1:25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15"/>
      <c r="T19" s="15"/>
      <c r="U19" s="15"/>
      <c r="V19" s="15"/>
      <c r="W19" s="15"/>
      <c r="X19" s="15"/>
      <c r="Y19" s="15"/>
    </row>
    <row r="20" spans="1:25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15"/>
      <c r="T20" s="15"/>
      <c r="U20" s="15"/>
      <c r="V20" s="15"/>
      <c r="W20" s="15"/>
      <c r="X20" s="15"/>
      <c r="Y20" s="15"/>
    </row>
    <row r="21" spans="1:25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15"/>
      <c r="T21" s="15"/>
      <c r="U21" s="15"/>
      <c r="V21" s="15"/>
      <c r="W21" s="15"/>
      <c r="X21" s="15"/>
      <c r="Y21" s="15"/>
    </row>
    <row r="22" spans="1:25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15"/>
      <c r="T22" s="15"/>
      <c r="U22" s="15"/>
      <c r="V22" s="15"/>
      <c r="W22" s="15"/>
      <c r="X22" s="15"/>
      <c r="Y22" s="15"/>
    </row>
    <row r="23" spans="1:25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15"/>
      <c r="T23" s="15"/>
      <c r="U23" s="15"/>
      <c r="V23" s="15"/>
      <c r="W23" s="15"/>
      <c r="X23" s="15"/>
      <c r="Y23" s="15"/>
    </row>
    <row r="24" spans="1:25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15"/>
      <c r="T24" s="15"/>
      <c r="U24" s="15"/>
      <c r="V24" s="15"/>
      <c r="W24" s="15"/>
      <c r="X24" s="15"/>
      <c r="Y24" s="15"/>
    </row>
    <row r="25" spans="1:25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15"/>
      <c r="T25" s="15"/>
      <c r="U25" s="15"/>
      <c r="V25" s="15"/>
      <c r="W25" s="15"/>
      <c r="X25" s="15"/>
      <c r="Y25" s="15"/>
    </row>
    <row r="26" spans="1:25" x14ac:dyDescent="0.25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15"/>
      <c r="T26" s="15"/>
      <c r="U26" s="15"/>
      <c r="V26" s="15"/>
      <c r="W26" s="15"/>
      <c r="X26" s="15"/>
      <c r="Y26" s="15"/>
    </row>
    <row r="27" spans="1:25" x14ac:dyDescent="0.25">
      <c r="A27" s="9"/>
      <c r="B27" s="9"/>
      <c r="C27" s="9"/>
      <c r="D27" s="9"/>
      <c r="E27" s="9"/>
      <c r="F27" s="9"/>
      <c r="G27" s="11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15"/>
      <c r="T27" s="15"/>
      <c r="U27" s="15"/>
      <c r="V27" s="15"/>
      <c r="W27" s="15"/>
      <c r="X27" s="15"/>
      <c r="Y27" s="15"/>
    </row>
    <row r="28" spans="1:25" x14ac:dyDescent="0.2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15"/>
      <c r="T28" s="15"/>
      <c r="U28" s="15"/>
      <c r="V28" s="15"/>
      <c r="W28" s="15"/>
      <c r="X28" s="15"/>
      <c r="Y28" s="15"/>
    </row>
    <row r="29" spans="1:25" x14ac:dyDescent="0.2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15"/>
      <c r="T29" s="15"/>
      <c r="U29" s="15"/>
      <c r="V29" s="15"/>
      <c r="W29" s="15"/>
      <c r="X29" s="15"/>
      <c r="Y29" s="15"/>
    </row>
    <row r="30" spans="1:25" x14ac:dyDescent="0.2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15"/>
      <c r="T30" s="15"/>
      <c r="U30" s="15"/>
      <c r="V30" s="15"/>
      <c r="W30" s="15"/>
      <c r="X30" s="15"/>
      <c r="Y30" s="15"/>
    </row>
    <row r="31" spans="1:25" x14ac:dyDescent="0.2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15"/>
      <c r="T31" s="15"/>
      <c r="U31" s="15"/>
      <c r="V31" s="15"/>
      <c r="W31" s="15"/>
      <c r="X31" s="15"/>
      <c r="Y31" s="15"/>
    </row>
    <row r="32" spans="1:25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15"/>
      <c r="T32" s="15"/>
      <c r="U32" s="15"/>
      <c r="V32" s="15"/>
      <c r="W32" s="15"/>
      <c r="X32" s="15"/>
      <c r="Y32" s="15"/>
    </row>
    <row r="33" spans="1:25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15"/>
      <c r="T33" s="15"/>
      <c r="U33" s="15"/>
      <c r="V33" s="15"/>
      <c r="W33" s="15"/>
      <c r="X33" s="15"/>
      <c r="Y33" s="15"/>
    </row>
    <row r="34" spans="1:25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15"/>
      <c r="T34" s="15"/>
      <c r="U34" s="15"/>
      <c r="V34" s="15"/>
      <c r="W34" s="15"/>
      <c r="X34" s="15"/>
      <c r="Y34" s="15"/>
    </row>
    <row r="35" spans="1:25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15"/>
      <c r="T35" s="15"/>
      <c r="U35" s="15"/>
      <c r="V35" s="15"/>
      <c r="W35" s="15"/>
      <c r="X35" s="15"/>
      <c r="Y35" s="15"/>
    </row>
    <row r="36" spans="1:25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15"/>
      <c r="T36" s="15"/>
      <c r="U36" s="15"/>
      <c r="V36" s="15"/>
      <c r="W36" s="15"/>
      <c r="X36" s="15"/>
      <c r="Y36" s="15"/>
    </row>
    <row r="37" spans="1:25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15"/>
      <c r="T37" s="15"/>
      <c r="U37" s="15"/>
      <c r="V37" s="15"/>
      <c r="W37" s="15"/>
      <c r="X37" s="15"/>
      <c r="Y37" s="15"/>
    </row>
    <row r="38" spans="1:25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5"/>
      <c r="T38" s="15"/>
      <c r="U38" s="15"/>
      <c r="V38" s="15"/>
      <c r="W38" s="15"/>
      <c r="X38" s="15"/>
      <c r="Y38" s="15"/>
    </row>
    <row r="39" spans="1:25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15"/>
      <c r="T39" s="15"/>
      <c r="U39" s="15"/>
      <c r="V39" s="15"/>
      <c r="W39" s="15"/>
      <c r="X39" s="15"/>
      <c r="Y39" s="15"/>
    </row>
    <row r="40" spans="1:25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</row>
    <row r="41" spans="1:25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</row>
    <row r="42" spans="1:25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</row>
    <row r="43" spans="1:25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</row>
    <row r="44" spans="1:25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</row>
    <row r="45" spans="1:25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</row>
    <row r="46" spans="1:25" x14ac:dyDescent="0.25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</row>
    <row r="47" spans="1:25" x14ac:dyDescent="0.25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</row>
    <row r="48" spans="1:25" x14ac:dyDescent="0.25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</row>
    <row r="49" spans="1:25" x14ac:dyDescent="0.25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</row>
    <row r="50" spans="1:25" x14ac:dyDescent="0.25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</row>
    <row r="51" spans="1:25" x14ac:dyDescent="0.25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4B20B3-6C8D-40BF-AEA0-C09EE0AD8B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Análisis</vt:lpstr>
      <vt:lpstr>DashBoard ZARA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Óscar Casanova Herrera</dc:creator>
  <cp:keywords/>
  <dc:description/>
  <cp:lastModifiedBy>Óscar Casanova Herrera</cp:lastModifiedBy>
  <cp:revision/>
  <dcterms:created xsi:type="dcterms:W3CDTF">2025-09-03T19:11:55Z</dcterms:created>
  <dcterms:modified xsi:type="dcterms:W3CDTF">2025-09-20T13:43:00Z</dcterms:modified>
  <cp:category/>
  <cp:contentStatus/>
</cp:coreProperties>
</file>